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6250174C-49F5-4FBE-8A3D-073CEA3EFF0F}" xr6:coauthVersionLast="47" xr6:coauthVersionMax="47" xr10:uidLastSave="{00000000-0000-0000-0000-000000000000}"/>
  <bookViews>
    <workbookView xWindow="1365" yWindow="1425" windowWidth="21600" windowHeight="1125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9" i="1" l="1"/>
  <c r="AI50" i="1"/>
  <c r="AH50" i="1"/>
  <c r="AF50" i="1"/>
  <c r="AE50" i="1"/>
  <c r="AH4" i="1"/>
  <c r="AI4" i="1"/>
  <c r="AH5" i="1"/>
  <c r="AI5" i="1"/>
  <c r="AH6" i="1"/>
  <c r="AI6" i="1"/>
  <c r="AH7" i="1"/>
  <c r="AI7" i="1"/>
  <c r="AH8" i="1"/>
  <c r="AI8" i="1"/>
  <c r="AH9" i="1"/>
  <c r="AI9" i="1"/>
  <c r="AH10" i="1"/>
  <c r="AI10" i="1"/>
  <c r="AH11" i="1"/>
  <c r="AI11" i="1"/>
  <c r="AH12" i="1"/>
  <c r="AI12" i="1"/>
  <c r="AH13" i="1"/>
  <c r="AI13" i="1"/>
  <c r="AH14" i="1"/>
  <c r="AI14" i="1"/>
  <c r="AH15" i="1"/>
  <c r="AI15" i="1"/>
  <c r="AH16" i="1"/>
  <c r="AI16" i="1"/>
  <c r="AH17" i="1"/>
  <c r="AI17" i="1"/>
  <c r="AH18" i="1"/>
  <c r="AI18" i="1"/>
  <c r="AH19" i="1"/>
  <c r="AI19" i="1"/>
  <c r="AH20" i="1"/>
  <c r="AI20" i="1"/>
  <c r="AH21" i="1"/>
  <c r="AI21" i="1"/>
  <c r="AH22" i="1"/>
  <c r="AI22" i="1"/>
  <c r="AH23" i="1"/>
  <c r="AI23" i="1"/>
  <c r="AH24" i="1"/>
  <c r="AI24" i="1"/>
  <c r="AH25" i="1"/>
  <c r="AI25" i="1"/>
  <c r="AH26" i="1"/>
  <c r="AI26" i="1"/>
  <c r="AH27" i="1"/>
  <c r="AI27" i="1"/>
  <c r="AH28" i="1"/>
  <c r="AI28" i="1"/>
  <c r="AH29" i="1"/>
  <c r="AI29" i="1"/>
  <c r="AH30" i="1"/>
  <c r="AI30" i="1"/>
  <c r="AH31" i="1"/>
  <c r="AI31" i="1"/>
  <c r="AH32" i="1"/>
  <c r="AI32" i="1"/>
  <c r="AH33" i="1"/>
  <c r="AI33" i="1"/>
  <c r="AH34" i="1"/>
  <c r="AI34" i="1"/>
  <c r="AH35" i="1"/>
  <c r="AI35" i="1"/>
  <c r="AH36" i="1"/>
  <c r="AI36" i="1"/>
  <c r="AH37" i="1"/>
  <c r="AI37" i="1"/>
  <c r="AH38" i="1"/>
  <c r="AI38" i="1"/>
  <c r="AH39" i="1"/>
  <c r="AI39" i="1"/>
  <c r="AH40" i="1"/>
  <c r="AI40" i="1"/>
  <c r="AH41" i="1"/>
  <c r="AI41" i="1"/>
  <c r="AH42" i="1"/>
  <c r="AI42" i="1"/>
  <c r="AH43" i="1"/>
  <c r="AI43" i="1"/>
  <c r="AH44" i="1"/>
  <c r="AI44" i="1"/>
  <c r="AH45" i="1"/>
  <c r="AI45" i="1"/>
  <c r="AH46" i="1"/>
  <c r="AI46" i="1"/>
  <c r="AH47" i="1"/>
  <c r="AI47" i="1"/>
  <c r="AH48" i="1"/>
  <c r="AI48" i="1"/>
  <c r="AH49" i="1"/>
  <c r="AI49" i="1"/>
  <c r="AI3" i="1"/>
  <c r="AF3" i="1"/>
  <c r="AH3" i="1"/>
  <c r="AE3" i="1"/>
  <c r="AE4" i="1"/>
  <c r="AF4" i="1"/>
  <c r="AE5" i="1"/>
  <c r="AF5" i="1"/>
  <c r="AE6" i="1"/>
  <c r="AF6" i="1"/>
  <c r="AE7" i="1"/>
  <c r="AF7" i="1"/>
  <c r="AE8" i="1"/>
  <c r="AF8" i="1"/>
  <c r="AE9" i="1"/>
  <c r="AF9" i="1"/>
  <c r="AE10" i="1"/>
  <c r="AF10" i="1"/>
  <c r="AE11" i="1"/>
  <c r="AF11" i="1"/>
  <c r="AE12" i="1"/>
  <c r="AF12" i="1"/>
  <c r="AE13" i="1"/>
  <c r="AF13" i="1"/>
  <c r="AE14" i="1"/>
  <c r="AF14" i="1"/>
  <c r="AE15" i="1"/>
  <c r="AF15" i="1"/>
  <c r="AE16" i="1"/>
  <c r="AF16" i="1"/>
  <c r="AE17" i="1"/>
  <c r="AF17" i="1"/>
  <c r="AE18" i="1"/>
  <c r="AF18" i="1"/>
  <c r="AE19" i="1"/>
  <c r="AF19" i="1"/>
  <c r="AE20" i="1"/>
  <c r="AF20" i="1"/>
  <c r="AE21" i="1"/>
  <c r="AF21" i="1"/>
  <c r="AE22" i="1"/>
  <c r="AF22" i="1"/>
  <c r="AE23" i="1"/>
  <c r="AF23" i="1"/>
  <c r="AE24" i="1"/>
  <c r="AF24" i="1"/>
  <c r="AE25" i="1"/>
  <c r="AF25" i="1"/>
  <c r="AE26" i="1"/>
  <c r="AF26" i="1"/>
  <c r="AE27" i="1"/>
  <c r="AF27" i="1"/>
  <c r="AE28" i="1"/>
  <c r="AF28" i="1"/>
  <c r="AE29" i="1"/>
  <c r="AF29" i="1"/>
  <c r="AE30" i="1"/>
  <c r="AF30" i="1"/>
  <c r="AE31" i="1"/>
  <c r="AF31" i="1"/>
  <c r="AE32" i="1"/>
  <c r="AF32" i="1"/>
  <c r="AE33" i="1"/>
  <c r="AF33" i="1"/>
  <c r="AE34" i="1"/>
  <c r="AF34" i="1"/>
  <c r="AE35" i="1"/>
  <c r="AF35" i="1"/>
  <c r="AE36" i="1"/>
  <c r="AF36" i="1"/>
  <c r="AE37" i="1"/>
  <c r="AF37" i="1"/>
  <c r="AE38" i="1"/>
  <c r="AF38" i="1"/>
  <c r="AE39" i="1"/>
  <c r="AF39" i="1"/>
  <c r="AE40" i="1"/>
  <c r="AF40" i="1"/>
  <c r="AE41" i="1"/>
  <c r="AF41" i="1"/>
  <c r="AE42" i="1"/>
  <c r="AF42" i="1"/>
  <c r="AE43" i="1"/>
  <c r="AF43" i="1"/>
  <c r="AE44" i="1"/>
  <c r="AF44" i="1"/>
  <c r="AE45" i="1"/>
  <c r="AF45" i="1"/>
  <c r="AE46" i="1"/>
  <c r="AF46" i="1"/>
  <c r="AE47" i="1"/>
  <c r="AF47" i="1"/>
  <c r="AE48" i="1"/>
  <c r="AF48" i="1"/>
  <c r="AE49" i="1"/>
  <c r="AF49" i="1"/>
  <c r="AC3" i="1"/>
  <c r="AB3" i="1"/>
  <c r="AB4" i="1"/>
  <c r="AC4" i="1"/>
  <c r="AB5" i="1"/>
  <c r="AC5" i="1"/>
  <c r="AB6" i="1"/>
  <c r="AC6" i="1"/>
  <c r="AB7" i="1"/>
  <c r="AC7" i="1"/>
  <c r="AB8" i="1"/>
  <c r="AC8" i="1"/>
  <c r="AB9" i="1"/>
  <c r="AC9" i="1"/>
  <c r="AB10" i="1"/>
  <c r="AC10" i="1"/>
  <c r="AB11" i="1"/>
  <c r="AC11" i="1"/>
  <c r="AB12" i="1"/>
  <c r="AC12" i="1"/>
  <c r="AB13" i="1"/>
  <c r="AC13" i="1"/>
  <c r="AB14" i="1"/>
  <c r="AC14" i="1"/>
  <c r="AB15" i="1"/>
  <c r="AC15" i="1"/>
  <c r="AB16" i="1"/>
  <c r="AC16" i="1"/>
  <c r="AB17" i="1"/>
  <c r="AC17" i="1"/>
  <c r="AB18" i="1"/>
  <c r="AC18" i="1"/>
  <c r="AB19" i="1"/>
  <c r="AC19" i="1"/>
  <c r="AB20" i="1"/>
  <c r="AC20" i="1"/>
  <c r="AB21" i="1"/>
  <c r="AC21" i="1"/>
  <c r="AB22" i="1"/>
  <c r="AC22" i="1"/>
  <c r="AB23" i="1"/>
  <c r="AC23" i="1"/>
  <c r="AB24" i="1"/>
  <c r="AC24" i="1"/>
  <c r="AB25" i="1"/>
  <c r="AC25" i="1"/>
  <c r="AB26" i="1"/>
  <c r="AC26" i="1"/>
  <c r="AB27" i="1"/>
  <c r="AC27" i="1"/>
  <c r="AB28" i="1"/>
  <c r="AC28" i="1"/>
  <c r="AB29" i="1"/>
  <c r="AC29" i="1"/>
  <c r="AB30" i="1"/>
  <c r="AC30" i="1"/>
  <c r="AB31" i="1"/>
  <c r="AC31" i="1"/>
  <c r="AB32" i="1"/>
  <c r="AC32" i="1"/>
  <c r="AB33" i="1"/>
  <c r="AC33" i="1"/>
  <c r="AB34" i="1"/>
  <c r="AC34" i="1"/>
  <c r="AB35" i="1"/>
  <c r="AC35" i="1"/>
  <c r="AB36" i="1"/>
  <c r="AC36" i="1"/>
  <c r="AB37" i="1"/>
  <c r="AC37" i="1"/>
  <c r="AB38" i="1"/>
  <c r="AC38" i="1"/>
  <c r="AB39" i="1"/>
  <c r="AC39" i="1"/>
  <c r="AB40" i="1"/>
  <c r="AC40" i="1"/>
  <c r="AB41" i="1"/>
  <c r="AC41" i="1"/>
  <c r="AB42" i="1"/>
  <c r="AC42" i="1"/>
  <c r="AB43" i="1"/>
  <c r="AC43" i="1"/>
  <c r="AB44" i="1"/>
  <c r="AC44" i="1"/>
  <c r="AB45" i="1"/>
  <c r="AC45" i="1"/>
  <c r="AB46" i="1"/>
  <c r="AC46" i="1"/>
  <c r="AB47" i="1"/>
  <c r="AC47" i="1"/>
  <c r="AB48" i="1"/>
  <c r="AC48" i="1"/>
  <c r="AC49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3" i="1"/>
  <c r="V3" i="1"/>
  <c r="V49" i="1"/>
  <c r="R49" i="1"/>
  <c r="F49" i="1"/>
  <c r="V48" i="1"/>
  <c r="R48" i="1"/>
  <c r="F48" i="1"/>
  <c r="V47" i="1"/>
  <c r="R47" i="1"/>
  <c r="F47" i="1"/>
  <c r="G47" i="1" s="1"/>
  <c r="V46" i="1"/>
  <c r="R46" i="1"/>
  <c r="F46" i="1"/>
  <c r="V45" i="1"/>
  <c r="R45" i="1"/>
  <c r="F45" i="1"/>
  <c r="G45" i="1" s="1"/>
  <c r="V44" i="1"/>
  <c r="R44" i="1"/>
  <c r="I44" i="1"/>
  <c r="H44" i="1"/>
  <c r="G44" i="1"/>
  <c r="F44" i="1"/>
  <c r="V43" i="1"/>
  <c r="R43" i="1"/>
  <c r="F43" i="1"/>
  <c r="V42" i="1"/>
  <c r="R42" i="1"/>
  <c r="G42" i="1"/>
  <c r="I42" i="1" s="1"/>
  <c r="F42" i="1"/>
  <c r="V41" i="1"/>
  <c r="R41" i="1"/>
  <c r="F41" i="1"/>
  <c r="V40" i="1"/>
  <c r="R40" i="1"/>
  <c r="F40" i="1"/>
  <c r="V39" i="1"/>
  <c r="R39" i="1"/>
  <c r="F39" i="1"/>
  <c r="G39" i="1" s="1"/>
  <c r="V38" i="1"/>
  <c r="R38" i="1"/>
  <c r="F38" i="1"/>
  <c r="V37" i="1"/>
  <c r="R37" i="1"/>
  <c r="F37" i="1"/>
  <c r="V36" i="1"/>
  <c r="R36" i="1"/>
  <c r="F36" i="1"/>
  <c r="V35" i="1"/>
  <c r="R35" i="1"/>
  <c r="F35" i="1"/>
  <c r="V34" i="1"/>
  <c r="R34" i="1"/>
  <c r="F34" i="1"/>
  <c r="V33" i="1"/>
  <c r="R33" i="1"/>
  <c r="F33" i="1"/>
  <c r="G33" i="1" s="1"/>
  <c r="V32" i="1"/>
  <c r="R32" i="1"/>
  <c r="F32" i="1"/>
  <c r="V31" i="1"/>
  <c r="R31" i="1"/>
  <c r="F31" i="1"/>
  <c r="G31" i="1" s="1"/>
  <c r="V30" i="1"/>
  <c r="R30" i="1"/>
  <c r="G30" i="1"/>
  <c r="F30" i="1"/>
  <c r="I30" i="1" s="1"/>
  <c r="V29" i="1"/>
  <c r="R29" i="1"/>
  <c r="F29" i="1"/>
  <c r="V28" i="1"/>
  <c r="R28" i="1"/>
  <c r="F28" i="1"/>
  <c r="V27" i="1"/>
  <c r="R27" i="1"/>
  <c r="F27" i="1"/>
  <c r="V26" i="1"/>
  <c r="R26" i="1"/>
  <c r="G26" i="1"/>
  <c r="H26" i="1" s="1"/>
  <c r="F26" i="1"/>
  <c r="V25" i="1"/>
  <c r="R25" i="1"/>
  <c r="F25" i="1"/>
  <c r="G25" i="1" s="1"/>
  <c r="V24" i="1"/>
  <c r="R24" i="1"/>
  <c r="F24" i="1"/>
  <c r="V23" i="1"/>
  <c r="R23" i="1"/>
  <c r="F23" i="1"/>
  <c r="G23" i="1" s="1"/>
  <c r="V22" i="1"/>
  <c r="R22" i="1"/>
  <c r="F22" i="1"/>
  <c r="G22" i="1" s="1"/>
  <c r="V21" i="1"/>
  <c r="R21" i="1"/>
  <c r="F21" i="1"/>
  <c r="G21" i="1" s="1"/>
  <c r="V20" i="1"/>
  <c r="R20" i="1"/>
  <c r="F20" i="1"/>
  <c r="V19" i="1"/>
  <c r="R19" i="1"/>
  <c r="F19" i="1"/>
  <c r="V18" i="1"/>
  <c r="R18" i="1"/>
  <c r="F18" i="1"/>
  <c r="G18" i="1" s="1"/>
  <c r="H18" i="1" s="1"/>
  <c r="V17" i="1"/>
  <c r="R17" i="1"/>
  <c r="F17" i="1"/>
  <c r="G17" i="1" s="1"/>
  <c r="V16" i="1"/>
  <c r="R16" i="1"/>
  <c r="F16" i="1"/>
  <c r="V15" i="1"/>
  <c r="R15" i="1"/>
  <c r="F15" i="1"/>
  <c r="G15" i="1" s="1"/>
  <c r="V14" i="1"/>
  <c r="R14" i="1"/>
  <c r="F14" i="1"/>
  <c r="V13" i="1"/>
  <c r="R13" i="1"/>
  <c r="F13" i="1"/>
  <c r="G13" i="1" s="1"/>
  <c r="V12" i="1"/>
  <c r="R12" i="1"/>
  <c r="F12" i="1"/>
  <c r="G12" i="1" s="1"/>
  <c r="V11" i="1"/>
  <c r="R11" i="1"/>
  <c r="F11" i="1"/>
  <c r="V10" i="1"/>
  <c r="R10" i="1"/>
  <c r="G10" i="1"/>
  <c r="H10" i="1" s="1"/>
  <c r="F10" i="1"/>
  <c r="V9" i="1"/>
  <c r="R9" i="1"/>
  <c r="F9" i="1"/>
  <c r="G9" i="1" s="1"/>
  <c r="V8" i="1"/>
  <c r="R8" i="1"/>
  <c r="F8" i="1"/>
  <c r="V7" i="1"/>
  <c r="R7" i="1"/>
  <c r="F7" i="1"/>
  <c r="G7" i="1" s="1"/>
  <c r="V6" i="1"/>
  <c r="R6" i="1"/>
  <c r="F6" i="1"/>
  <c r="G6" i="1" s="1"/>
  <c r="V5" i="1"/>
  <c r="R5" i="1"/>
  <c r="F5" i="1"/>
  <c r="G5" i="1" s="1"/>
  <c r="V4" i="1"/>
  <c r="R4" i="1"/>
  <c r="F4" i="1"/>
  <c r="R3" i="1"/>
  <c r="F3" i="1"/>
  <c r="AC50" i="1" l="1"/>
  <c r="AB50" i="1"/>
  <c r="I12" i="1"/>
  <c r="H12" i="1"/>
  <c r="G4" i="1"/>
  <c r="I4" i="1" s="1"/>
  <c r="G36" i="1"/>
  <c r="I36" i="1" s="1"/>
  <c r="I10" i="1"/>
  <c r="G14" i="1"/>
  <c r="H14" i="1" s="1"/>
  <c r="G28" i="1"/>
  <c r="I28" i="1" s="1"/>
  <c r="I18" i="1"/>
  <c r="G20" i="1"/>
  <c r="I20" i="1" s="1"/>
  <c r="G38" i="1"/>
  <c r="I38" i="1" s="1"/>
  <c r="G34" i="1"/>
  <c r="H34" i="1" s="1"/>
  <c r="I6" i="1"/>
  <c r="I26" i="1"/>
  <c r="I22" i="1"/>
  <c r="I33" i="1"/>
  <c r="H33" i="1"/>
  <c r="I47" i="1"/>
  <c r="H47" i="1"/>
  <c r="I43" i="1"/>
  <c r="I25" i="1"/>
  <c r="H25" i="1"/>
  <c r="I15" i="1"/>
  <c r="H15" i="1"/>
  <c r="I16" i="1"/>
  <c r="I9" i="1"/>
  <c r="H9" i="1"/>
  <c r="I23" i="1"/>
  <c r="H23" i="1"/>
  <c r="I7" i="1"/>
  <c r="H7" i="1"/>
  <c r="I39" i="1"/>
  <c r="H39" i="1"/>
  <c r="I17" i="1"/>
  <c r="H17" i="1"/>
  <c r="I40" i="1"/>
  <c r="I31" i="1"/>
  <c r="H31" i="1"/>
  <c r="H42" i="1"/>
  <c r="G37" i="1"/>
  <c r="I37" i="1" s="1"/>
  <c r="H21" i="1"/>
  <c r="I5" i="1"/>
  <c r="G8" i="1"/>
  <c r="I8" i="1" s="1"/>
  <c r="I13" i="1"/>
  <c r="G16" i="1"/>
  <c r="H16" i="1" s="1"/>
  <c r="I21" i="1"/>
  <c r="G24" i="1"/>
  <c r="H24" i="1" s="1"/>
  <c r="G32" i="1"/>
  <c r="H32" i="1" s="1"/>
  <c r="G40" i="1"/>
  <c r="I45" i="1"/>
  <c r="G48" i="1"/>
  <c r="I48" i="1" s="1"/>
  <c r="H45" i="1"/>
  <c r="H40" i="1"/>
  <c r="H48" i="1"/>
  <c r="G3" i="1"/>
  <c r="H3" i="1" s="1"/>
  <c r="G11" i="1"/>
  <c r="H11" i="1" s="1"/>
  <c r="G19" i="1"/>
  <c r="I19" i="1" s="1"/>
  <c r="G27" i="1"/>
  <c r="I27" i="1" s="1"/>
  <c r="G35" i="1"/>
  <c r="H35" i="1" s="1"/>
  <c r="G43" i="1"/>
  <c r="H13" i="1"/>
  <c r="H43" i="1"/>
  <c r="G46" i="1"/>
  <c r="H46" i="1" s="1"/>
  <c r="G29" i="1"/>
  <c r="H29" i="1" s="1"/>
  <c r="H5" i="1"/>
  <c r="H6" i="1"/>
  <c r="H22" i="1"/>
  <c r="H30" i="1"/>
  <c r="G41" i="1"/>
  <c r="I41" i="1" s="1"/>
  <c r="G49" i="1"/>
  <c r="I49" i="1" s="1"/>
  <c r="I14" i="1" l="1"/>
  <c r="H38" i="1"/>
  <c r="H36" i="1"/>
  <c r="H41" i="1"/>
  <c r="I29" i="1"/>
  <c r="H20" i="1"/>
  <c r="H4" i="1"/>
  <c r="I34" i="1"/>
  <c r="H28" i="1"/>
  <c r="I32" i="1"/>
  <c r="I35" i="1"/>
  <c r="I24" i="1"/>
  <c r="H37" i="1"/>
  <c r="I3" i="1"/>
  <c r="H27" i="1"/>
  <c r="H19" i="1"/>
  <c r="H49" i="1"/>
  <c r="H8" i="1"/>
  <c r="I46" i="1"/>
  <c r="I11" i="1"/>
</calcChain>
</file>

<file path=xl/sharedStrings.xml><?xml version="1.0" encoding="utf-8"?>
<sst xmlns="http://schemas.openxmlformats.org/spreadsheetml/2006/main" count="35" uniqueCount="24">
  <si>
    <t>仿真值</t>
  </si>
  <si>
    <t>实测值</t>
  </si>
  <si>
    <t>模型预测值(使用特征工程)</t>
  </si>
  <si>
    <t>模型预测值(未使用特征工程)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</si>
  <si>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</si>
  <si>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</si>
  <si>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</si>
  <si>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</si>
  <si>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</si>
  <si>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</si>
  <si>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</si>
  <si>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</si>
  <si>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</si>
  <si>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</si>
  <si>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</si>
  <si>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</si>
  <si>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</si>
  <si>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</si>
  <si>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</si>
  <si>
    <t>仿真值相对误差</t>
    <phoneticPr fontId="1" type="noConversion"/>
  </si>
  <si>
    <t>L%</t>
    <phoneticPr fontId="1" type="noConversion"/>
  </si>
  <si>
    <t>R%</t>
    <phoneticPr fontId="1" type="noConversion"/>
  </si>
  <si>
    <t>使用特征工程相对误差</t>
    <phoneticPr fontId="1" type="noConversion"/>
  </si>
  <si>
    <t>未使用特征工程相对误差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</si>
</sst>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</cellXfs>
  <cellStyles count="1">
    <cellStyle name="常规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0"/>
  <sheetViews>
    <sheetView tabSelected="1" zoomScaleNormal="100" workbookViewId="0">
      <selection activeCell="AJ3" sqref="AJ3"/>
    </sheetView>
  </sheetViews>
  <sheetFormatPr defaultColWidth="8.625" defaultRowHeight="14.25" x14ac:dyDescent="0.2"/>
  <cols>
    <col min="15" max="15" width="8.625" customWidth="1"/>
    <col min="20" max="20" width="11.125" style="1" customWidth="1"/>
    <col min="21" max="21" width="10.125" style="1" customWidth="1"/>
    <col min="23" max="23" width="10.625" style="1" customWidth="1"/>
  </cols>
  <sheetData>
    <row r="1" spans="1:35" x14ac:dyDescent="0.2">
      <c r="L1" t="s">
        <v>0</v>
      </c>
      <c r="P1" t="s">
        <v>1</v>
      </c>
      <c r="T1" t="s">
        <v>2</v>
      </c>
      <c r="X1" t="s">
        <v>3</v>
      </c>
      <c r="AB1" t="s">
        <v>19</v>
      </c>
      <c r="AE1" t="s">
        <v>22</v>
      </c>
      <c r="AH1" t="s">
        <v>23</v>
      </c>
    </row>
    <row r="2" spans="1:35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L2" t="s">
        <v>14</v>
      </c>
      <c r="M2" t="s">
        <v>15</v>
      </c>
      <c r="N2" t="s">
        <v>16</v>
      </c>
      <c r="P2" t="s">
        <v>17</v>
      </c>
      <c r="Q2" t="s">
        <v>18</v>
      </c>
      <c r="R2" t="s">
        <v>16</v>
      </c>
      <c r="T2" t="s">
        <v>17</v>
      </c>
      <c r="U2" t="s">
        <v>18</v>
      </c>
      <c r="V2" t="s">
        <v>16</v>
      </c>
      <c r="X2" t="s">
        <v>17</v>
      </c>
      <c r="Y2" t="s">
        <v>18</v>
      </c>
      <c r="Z2" t="s">
        <v>16</v>
      </c>
      <c r="AB2" t="s">
        <v>20</v>
      </c>
      <c r="AC2" t="s">
        <v>21</v>
      </c>
      <c r="AE2" t="s">
        <v>20</v>
      </c>
      <c r="AF2" t="s">
        <v>21</v>
      </c>
      <c r="AH2" t="s">
        <v>20</v>
      </c>
      <c r="AI2" t="s">
        <v>21</v>
      </c>
    </row>
    <row r="3" spans="1:35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0.14960399999999999</v>
      </c>
      <c r="M3">
        <v>7.9237000000000002E-2</v>
      </c>
      <c r="N3">
        <v>80.431822999999994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>
        <v>0.12408220767974849</v>
      </c>
      <c r="U3">
        <v>7.6971098780632019E-2</v>
      </c>
      <c r="V3">
        <f>6780000*2*3.1415926*T3*0.000001/U3</f>
        <v>68.673847611413464</v>
      </c>
      <c r="X3">
        <v>0.1031891107559204</v>
      </c>
      <c r="Y3">
        <v>7.0287048816680908E-2</v>
      </c>
      <c r="Z3">
        <f>6780000*2*3.1415926*X3*0.000001/Y3</f>
        <v>62.541474481504522</v>
      </c>
      <c r="AB3">
        <f>ABS(P3-L3)/P3*100</f>
        <v>16.775700934579447</v>
      </c>
      <c r="AC3">
        <f>ABS(Q3-M3)/Q3*100</f>
        <v>8.4790593453302225</v>
      </c>
      <c r="AE3">
        <f>ABS(P3-T3)/P3*100</f>
        <v>30.973404717540891</v>
      </c>
      <c r="AF3">
        <f>ABS(Q3-U3)/Q3*100</f>
        <v>11.096238327713719</v>
      </c>
      <c r="AH3">
        <f>ABS(P3-X3)/P3*100</f>
        <v>42.596177817133736</v>
      </c>
      <c r="AI3">
        <f>ABS(Q3-Y3)/Q3*100</f>
        <v>18.816502094434028</v>
      </c>
    </row>
    <row r="4" spans="1:35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0.15662000000000001</v>
      </c>
      <c r="M4">
        <v>0.112703</v>
      </c>
      <c r="N4">
        <v>59.199742000000001</v>
      </c>
      <c r="P4">
        <v>0.21931999999999999</v>
      </c>
      <c r="Q4">
        <v>0.13755999999999999</v>
      </c>
      <c r="R4">
        <f t="shared" si="4"/>
        <v>67.919679029324811</v>
      </c>
      <c r="T4">
        <v>0.16146913170814511</v>
      </c>
      <c r="U4">
        <v>8.6934715509414673E-2</v>
      </c>
      <c r="V4">
        <f t="shared" ref="V4:V49" si="5">6780000*2*3.1415926*T4*0.000001/U4</f>
        <v>79.123561502886048</v>
      </c>
      <c r="X4">
        <v>0.17454767227172849</v>
      </c>
      <c r="Y4">
        <v>0.12292706966400151</v>
      </c>
      <c r="Z4">
        <f t="shared" ref="Z4:Z49" si="6">6780000*2*3.1415926*X4*0.000001/Y4</f>
        <v>60.488955775686705</v>
      </c>
      <c r="AB4">
        <f t="shared" ref="AB4:AB48" si="7">ABS(P4-L4)/P4*100</f>
        <v>28.588364034287789</v>
      </c>
      <c r="AC4">
        <f t="shared" ref="AC4:AC49" si="8">ABS(Q4-M4)/Q4*100</f>
        <v>18.069933120093047</v>
      </c>
      <c r="AE4">
        <f t="shared" ref="AE4:AE49" si="9">ABS(P4-T4)/P4*100</f>
        <v>26.377379305058763</v>
      </c>
      <c r="AF4">
        <f t="shared" ref="AF4:AF49" si="10">ABS(Q4-U4)/Q4*100</f>
        <v>36.802329522088776</v>
      </c>
      <c r="AH4">
        <f t="shared" ref="AH4:AH49" si="11">ABS(P4-X4)/P4*100</f>
        <v>20.414156359780915</v>
      </c>
      <c r="AI4">
        <f t="shared" ref="AI4:AI49" si="12">ABS(Q4-Y4)/Q4*100</f>
        <v>10.637489339923293</v>
      </c>
    </row>
    <row r="5" spans="1:35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>
        <v>0.1689397990703583</v>
      </c>
      <c r="U5">
        <v>8.8925570249557495E-2</v>
      </c>
      <c r="V5">
        <f t="shared" si="5"/>
        <v>80.9309930352523</v>
      </c>
      <c r="X5">
        <v>0.1994786262512207</v>
      </c>
      <c r="Y5">
        <v>0.1150748729705811</v>
      </c>
      <c r="Z5">
        <f t="shared" si="6"/>
        <v>73.845735323464666</v>
      </c>
      <c r="AB5">
        <f t="shared" si="7"/>
        <v>12.55538395464696</v>
      </c>
      <c r="AC5">
        <f t="shared" si="8"/>
        <v>15.898569066710754</v>
      </c>
      <c r="AE5">
        <f t="shared" si="9"/>
        <v>27.443824484470746</v>
      </c>
      <c r="AF5">
        <f t="shared" si="10"/>
        <v>26.489567455106638</v>
      </c>
      <c r="AH5">
        <f t="shared" si="11"/>
        <v>14.328025145498749</v>
      </c>
      <c r="AI5">
        <f t="shared" si="12"/>
        <v>4.8732140443241283</v>
      </c>
    </row>
    <row r="6" spans="1:35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>
        <v>0.19643175601959231</v>
      </c>
      <c r="U6">
        <v>9.6252202987670898E-2</v>
      </c>
      <c r="V6">
        <f t="shared" si="5"/>
        <v>86.938186279299558</v>
      </c>
      <c r="X6">
        <v>0.21352458000183111</v>
      </c>
      <c r="Y6">
        <v>7.3583334684371948E-2</v>
      </c>
      <c r="Z6">
        <f t="shared" si="6"/>
        <v>123.61693336601557</v>
      </c>
      <c r="AB6">
        <f t="shared" si="7"/>
        <v>10.34079191787518</v>
      </c>
      <c r="AC6">
        <f t="shared" si="8"/>
        <v>16.74820196518753</v>
      </c>
      <c r="AE6">
        <f t="shared" si="9"/>
        <v>19.980545861336033</v>
      </c>
      <c r="AF6">
        <f t="shared" si="10"/>
        <v>2.1956418484642293</v>
      </c>
      <c r="AH6">
        <f t="shared" si="11"/>
        <v>13.017524848528961</v>
      </c>
      <c r="AI6">
        <f t="shared" si="12"/>
        <v>25.230066470515126</v>
      </c>
    </row>
    <row r="7" spans="1:35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>
        <v>0.38469091057777399</v>
      </c>
      <c r="U7">
        <v>0.18547867238521579</v>
      </c>
      <c r="V7">
        <f t="shared" si="5"/>
        <v>88.354261483392563</v>
      </c>
      <c r="X7">
        <v>0.40105938911437988</v>
      </c>
      <c r="Y7">
        <v>0.17784106731414789</v>
      </c>
      <c r="Z7">
        <f t="shared" si="6"/>
        <v>96.06964517307199</v>
      </c>
      <c r="AB7">
        <f t="shared" si="7"/>
        <v>7.4506165113799661</v>
      </c>
      <c r="AC7">
        <f t="shared" si="8"/>
        <v>15.196523447967838</v>
      </c>
      <c r="AE7">
        <f t="shared" si="9"/>
        <v>10.839727766705144</v>
      </c>
      <c r="AF7">
        <f t="shared" si="10"/>
        <v>17.16003913121224</v>
      </c>
      <c r="AH7">
        <f t="shared" si="11"/>
        <v>7.0459859281555941</v>
      </c>
      <c r="AI7">
        <f t="shared" si="12"/>
        <v>20.571207095065695</v>
      </c>
    </row>
    <row r="8" spans="1:35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>
        <v>0.35672712326049799</v>
      </c>
      <c r="U8">
        <v>0.14150333404541021</v>
      </c>
      <c r="V8">
        <f t="shared" si="5"/>
        <v>107.39375155922346</v>
      </c>
      <c r="X8">
        <v>0.36836838722228998</v>
      </c>
      <c r="Y8">
        <v>0.12534976005554199</v>
      </c>
      <c r="Z8">
        <f t="shared" si="6"/>
        <v>125.18964287226396</v>
      </c>
      <c r="AB8">
        <f t="shared" si="7"/>
        <v>6.6397479333587723</v>
      </c>
      <c r="AC8">
        <f t="shared" si="8"/>
        <v>9.246349758162026</v>
      </c>
      <c r="AE8">
        <f t="shared" si="9"/>
        <v>9.2643715476286435</v>
      </c>
      <c r="AF8">
        <f t="shared" si="10"/>
        <v>6.9402464067489564</v>
      </c>
      <c r="AH8">
        <f t="shared" si="11"/>
        <v>6.3033480294315183</v>
      </c>
      <c r="AI8">
        <f t="shared" si="12"/>
        <v>5.2677145892215851</v>
      </c>
    </row>
    <row r="9" spans="1:35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>
        <v>0.40904849767684942</v>
      </c>
      <c r="U9">
        <v>0.15694709122180939</v>
      </c>
      <c r="V9">
        <f t="shared" si="5"/>
        <v>111.02763414391758</v>
      </c>
      <c r="X9">
        <v>0.43056869506835938</v>
      </c>
      <c r="Y9">
        <v>0.14516684412956241</v>
      </c>
      <c r="Z9">
        <f t="shared" si="6"/>
        <v>126.35271262872628</v>
      </c>
      <c r="AB9">
        <f t="shared" si="7"/>
        <v>6.3261210478370122</v>
      </c>
      <c r="AC9">
        <f t="shared" si="8"/>
        <v>9.6468174347981375</v>
      </c>
      <c r="AE9">
        <f t="shared" si="9"/>
        <v>9.1144715984514857</v>
      </c>
      <c r="AF9">
        <f t="shared" si="10"/>
        <v>12.145116985930258</v>
      </c>
      <c r="AH9">
        <f t="shared" si="11"/>
        <v>4.3329493038062186</v>
      </c>
      <c r="AI9">
        <f t="shared" si="12"/>
        <v>3.7276485384511719</v>
      </c>
    </row>
    <row r="10" spans="1:35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>
        <v>0.46865791082382202</v>
      </c>
      <c r="U10">
        <v>0.213797852396965</v>
      </c>
      <c r="V10">
        <f t="shared" si="5"/>
        <v>93.381784435212921</v>
      </c>
      <c r="X10">
        <v>0.48204529285430908</v>
      </c>
      <c r="Y10">
        <v>0.19915902614593509</v>
      </c>
      <c r="Z10">
        <f t="shared" si="6"/>
        <v>103.1091976044388</v>
      </c>
      <c r="AB10">
        <f t="shared" si="7"/>
        <v>6.5910470646425496</v>
      </c>
      <c r="AC10">
        <f t="shared" si="8"/>
        <v>3.208589999051136</v>
      </c>
      <c r="AE10">
        <f t="shared" si="9"/>
        <v>10.843908453406764</v>
      </c>
      <c r="AF10">
        <f t="shared" si="10"/>
        <v>1.4317546242361723</v>
      </c>
      <c r="AH10">
        <f t="shared" si="11"/>
        <v>8.297132584882041</v>
      </c>
      <c r="AI10">
        <f t="shared" si="12"/>
        <v>5.5133190312481775</v>
      </c>
    </row>
    <row r="11" spans="1:35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>
        <v>0.36116534471511841</v>
      </c>
      <c r="U11">
        <v>0.2251284122467041</v>
      </c>
      <c r="V11">
        <f t="shared" si="5"/>
        <v>68.341627617848729</v>
      </c>
      <c r="X11">
        <v>0.38369858264923101</v>
      </c>
      <c r="Y11">
        <v>0.19164204597473139</v>
      </c>
      <c r="Z11">
        <f t="shared" si="6"/>
        <v>85.2921282014794</v>
      </c>
      <c r="AB11">
        <f t="shared" si="7"/>
        <v>27.101478404108427</v>
      </c>
      <c r="AC11">
        <f t="shared" si="8"/>
        <v>78.44825359088658</v>
      </c>
      <c r="AE11">
        <f t="shared" si="9"/>
        <v>12.510514591429859</v>
      </c>
      <c r="AF11">
        <f t="shared" si="10"/>
        <v>11.504909483261072</v>
      </c>
      <c r="AH11">
        <f t="shared" si="11"/>
        <v>7.052013602085462</v>
      </c>
      <c r="AI11">
        <f t="shared" si="12"/>
        <v>5.0807102651157035</v>
      </c>
    </row>
    <row r="12" spans="1:35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>
        <v>0.50276118516921997</v>
      </c>
      <c r="U12">
        <v>0.22522106766700739</v>
      </c>
      <c r="V12">
        <f t="shared" si="5"/>
        <v>95.096007341020382</v>
      </c>
      <c r="X12">
        <v>0.48176538944244379</v>
      </c>
      <c r="Y12">
        <v>0.1967687010765076</v>
      </c>
      <c r="Z12">
        <f t="shared" si="6"/>
        <v>104.30115859472703</v>
      </c>
      <c r="AB12">
        <f t="shared" si="7"/>
        <v>8.2197520250368168</v>
      </c>
      <c r="AC12">
        <f t="shared" si="8"/>
        <v>4.0801746403786927</v>
      </c>
      <c r="AE12">
        <f t="shared" si="9"/>
        <v>7.44455354027615</v>
      </c>
      <c r="AF12">
        <f t="shared" si="10"/>
        <v>3.5070856505388051</v>
      </c>
      <c r="AH12">
        <f t="shared" si="11"/>
        <v>11.309758939167198</v>
      </c>
      <c r="AI12">
        <f t="shared" si="12"/>
        <v>9.5690513918343711</v>
      </c>
    </row>
    <row r="13" spans="1:35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>
        <v>0.4650338888168335</v>
      </c>
      <c r="U13">
        <v>0.17284254729747769</v>
      </c>
      <c r="V13">
        <f t="shared" si="5"/>
        <v>114.61553855367758</v>
      </c>
      <c r="X13">
        <v>0.49842798709869379</v>
      </c>
      <c r="Y13">
        <v>0.19587200880050659</v>
      </c>
      <c r="Z13">
        <f t="shared" si="6"/>
        <v>108.4025748000511</v>
      </c>
      <c r="AB13">
        <f t="shared" si="7"/>
        <v>24.696333988732178</v>
      </c>
      <c r="AC13">
        <f t="shared" si="8"/>
        <v>84.008394398145867</v>
      </c>
      <c r="AE13">
        <f t="shared" si="9"/>
        <v>12.081920668349241</v>
      </c>
      <c r="AF13">
        <f t="shared" si="10"/>
        <v>14.767716703250802</v>
      </c>
      <c r="AH13">
        <f t="shared" si="11"/>
        <v>5.7685206074991822</v>
      </c>
      <c r="AI13">
        <f t="shared" si="12"/>
        <v>3.4114064793596364</v>
      </c>
    </row>
    <row r="14" spans="1:35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>
        <v>0.49436432123184199</v>
      </c>
      <c r="U14">
        <v>0.18015462160110471</v>
      </c>
      <c r="V14">
        <f t="shared" si="5"/>
        <v>116.89912670455033</v>
      </c>
      <c r="X14">
        <v>0.51373791694641113</v>
      </c>
      <c r="Y14">
        <v>0.18338131904602051</v>
      </c>
      <c r="Z14">
        <f t="shared" si="6"/>
        <v>119.34276154239784</v>
      </c>
      <c r="AB14">
        <f t="shared" si="7"/>
        <v>6.0041675967596806</v>
      </c>
      <c r="AC14">
        <f t="shared" si="8"/>
        <v>11.413465450903926</v>
      </c>
      <c r="AE14">
        <f t="shared" si="9"/>
        <v>11.005522730541497</v>
      </c>
      <c r="AF14">
        <f t="shared" si="10"/>
        <v>5.046844673428188</v>
      </c>
      <c r="AH14">
        <f t="shared" si="11"/>
        <v>7.5179267423202276</v>
      </c>
      <c r="AI14">
        <f t="shared" si="12"/>
        <v>3.3461661065616939</v>
      </c>
    </row>
    <row r="15" spans="1:35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>
        <v>0.58772408962249756</v>
      </c>
      <c r="U15">
        <v>0.20158037543296811</v>
      </c>
      <c r="V15">
        <f t="shared" si="5"/>
        <v>124.20377534801528</v>
      </c>
      <c r="X15">
        <v>0.59992742538452148</v>
      </c>
      <c r="Y15">
        <v>0.1948093771934509</v>
      </c>
      <c r="Z15">
        <f t="shared" si="6"/>
        <v>131.18929942431464</v>
      </c>
      <c r="AB15">
        <f t="shared" si="7"/>
        <v>5.9301236894988509</v>
      </c>
      <c r="AC15">
        <f t="shared" si="8"/>
        <v>11.259286029303674</v>
      </c>
      <c r="AE15">
        <f t="shared" si="9"/>
        <v>8.4442089289334419</v>
      </c>
      <c r="AF15">
        <f t="shared" si="10"/>
        <v>1.2199855770235162</v>
      </c>
      <c r="AH15">
        <f t="shared" si="11"/>
        <v>6.5431705350238376</v>
      </c>
      <c r="AI15">
        <f t="shared" si="12"/>
        <v>4.5379638391478911</v>
      </c>
    </row>
    <row r="16" spans="1:35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>
        <v>0.70015197992324829</v>
      </c>
      <c r="U16">
        <v>0.2239689230918884</v>
      </c>
      <c r="V16">
        <f t="shared" si="5"/>
        <v>133.17236557427739</v>
      </c>
      <c r="X16">
        <v>0.76006722450256348</v>
      </c>
      <c r="Y16">
        <v>0.23711210489273071</v>
      </c>
      <c r="Z16">
        <f t="shared" si="6"/>
        <v>136.55507160516052</v>
      </c>
      <c r="AB16">
        <f t="shared" si="7"/>
        <v>5.0966208925944017</v>
      </c>
      <c r="AC16">
        <f t="shared" si="8"/>
        <v>7.6703476337903513</v>
      </c>
      <c r="AE16">
        <f t="shared" si="9"/>
        <v>9.6368214652114901</v>
      </c>
      <c r="AF16">
        <f t="shared" si="10"/>
        <v>0.94253733220327085</v>
      </c>
      <c r="AH16">
        <f t="shared" si="11"/>
        <v>1.9040261605839393</v>
      </c>
      <c r="AI16">
        <f t="shared" si="12"/>
        <v>4.8704577146088983</v>
      </c>
    </row>
    <row r="17" spans="1:35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>
        <v>1.0431568622589109</v>
      </c>
      <c r="U17">
        <v>0.30557018518447882</v>
      </c>
      <c r="V17">
        <f t="shared" si="5"/>
        <v>145.42805533834331</v>
      </c>
      <c r="X17">
        <v>0.92759287357330322</v>
      </c>
      <c r="Y17">
        <v>0.29882404208183289</v>
      </c>
      <c r="Z17">
        <f t="shared" si="6"/>
        <v>132.23652323777208</v>
      </c>
      <c r="AB17">
        <f t="shared" si="7"/>
        <v>4.9989251598038535</v>
      </c>
      <c r="AC17">
        <f t="shared" si="8"/>
        <v>5.7436367236723651</v>
      </c>
      <c r="AE17">
        <f t="shared" si="9"/>
        <v>6.3479964378177849</v>
      </c>
      <c r="AF17">
        <f t="shared" si="10"/>
        <v>10.0162682932417</v>
      </c>
      <c r="AH17">
        <f t="shared" si="11"/>
        <v>5.4335477399807131</v>
      </c>
      <c r="AI17">
        <f t="shared" si="12"/>
        <v>7.587413890848925</v>
      </c>
    </row>
    <row r="18" spans="1:35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>
        <v>1.1460273265838621</v>
      </c>
      <c r="U18">
        <v>0.31722116470336909</v>
      </c>
      <c r="V18">
        <f t="shared" si="5"/>
        <v>153.9013299436742</v>
      </c>
      <c r="X18">
        <v>1.05478823184967</v>
      </c>
      <c r="Y18">
        <v>0.28100436925888062</v>
      </c>
      <c r="Z18">
        <f t="shared" si="6"/>
        <v>159.90489476481977</v>
      </c>
      <c r="AB18">
        <f t="shared" si="7"/>
        <v>4.2099149472925648</v>
      </c>
      <c r="AC18">
        <f t="shared" si="8"/>
        <v>8.0360302045183314</v>
      </c>
      <c r="AE18">
        <f t="shared" si="9"/>
        <v>3.2550073505596875</v>
      </c>
      <c r="AF18">
        <f t="shared" si="10"/>
        <v>30.53831723113003</v>
      </c>
      <c r="AH18">
        <f t="shared" si="11"/>
        <v>4.9654714974619454</v>
      </c>
      <c r="AI18">
        <f t="shared" si="12"/>
        <v>15.634899493387355</v>
      </c>
    </row>
    <row r="19" spans="1:35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>
        <v>0.63737165927886963</v>
      </c>
      <c r="U19">
        <v>0.42281004786491388</v>
      </c>
      <c r="V19">
        <f t="shared" si="5"/>
        <v>64.218033733229362</v>
      </c>
      <c r="X19">
        <v>0.62943422794342041</v>
      </c>
      <c r="Y19">
        <v>0.47128748893737787</v>
      </c>
      <c r="Z19">
        <f t="shared" si="6"/>
        <v>56.894986617585147</v>
      </c>
      <c r="AB19">
        <f t="shared" si="7"/>
        <v>4.7647188388772062</v>
      </c>
      <c r="AC19">
        <f t="shared" si="8"/>
        <v>15.066874103705938</v>
      </c>
      <c r="AE19">
        <f t="shared" si="9"/>
        <v>1.4820608261917816</v>
      </c>
      <c r="AF19">
        <f t="shared" si="10"/>
        <v>59.563003949322166</v>
      </c>
      <c r="AH19">
        <f t="shared" si="11"/>
        <v>2.7089421380888417</v>
      </c>
      <c r="AI19">
        <f t="shared" si="12"/>
        <v>77.857758675136949</v>
      </c>
    </row>
    <row r="20" spans="1:35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>
        <v>0.47585126757621771</v>
      </c>
      <c r="U20">
        <v>0.32726007699966431</v>
      </c>
      <c r="V20">
        <f t="shared" si="5"/>
        <v>61.942361309380743</v>
      </c>
      <c r="X20">
        <v>0.51356363296508789</v>
      </c>
      <c r="Y20">
        <v>0.40556862950325012</v>
      </c>
      <c r="Z20">
        <f t="shared" si="6"/>
        <v>53.94354233015698</v>
      </c>
      <c r="AB20">
        <f t="shared" si="7"/>
        <v>5.1597752554344796</v>
      </c>
      <c r="AC20">
        <f t="shared" si="8"/>
        <v>17.883843878787879</v>
      </c>
      <c r="AE20">
        <f t="shared" si="9"/>
        <v>10.13026354110225</v>
      </c>
      <c r="AF20">
        <f t="shared" si="10"/>
        <v>58.671552484685726</v>
      </c>
      <c r="AH20">
        <f t="shared" si="11"/>
        <v>3.0078692770235747</v>
      </c>
      <c r="AI20">
        <f t="shared" si="12"/>
        <v>96.639335516727343</v>
      </c>
    </row>
    <row r="21" spans="1:35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>
        <v>0.79386031627655029</v>
      </c>
      <c r="U21">
        <v>0.42268052697181702</v>
      </c>
      <c r="V21">
        <f t="shared" si="5"/>
        <v>80.009472561073849</v>
      </c>
      <c r="X21">
        <v>0.77157771587371826</v>
      </c>
      <c r="Y21">
        <v>0.42089086771011353</v>
      </c>
      <c r="Z21">
        <f t="shared" si="6"/>
        <v>78.094370455966526</v>
      </c>
      <c r="AB21">
        <f t="shared" si="7"/>
        <v>4.24115539040874</v>
      </c>
      <c r="AC21">
        <f t="shared" si="8"/>
        <v>5.9708498825539227</v>
      </c>
      <c r="AE21">
        <f t="shared" si="9"/>
        <v>1.0124546401967298</v>
      </c>
      <c r="AF21">
        <f t="shared" si="10"/>
        <v>28.940705583056353</v>
      </c>
      <c r="AH21">
        <f t="shared" si="11"/>
        <v>3.7909030307840297</v>
      </c>
      <c r="AI21">
        <f t="shared" si="12"/>
        <v>28.394761511275902</v>
      </c>
    </row>
    <row r="22" spans="1:35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>
        <v>0.97864878177642822</v>
      </c>
      <c r="U22">
        <v>0.46412968635559082</v>
      </c>
      <c r="V22">
        <f t="shared" si="5"/>
        <v>89.824967197820229</v>
      </c>
      <c r="X22">
        <v>0.89939093589782715</v>
      </c>
      <c r="Y22">
        <v>0.3657647967338562</v>
      </c>
      <c r="Z22">
        <f t="shared" si="6"/>
        <v>104.75051263659994</v>
      </c>
      <c r="AB22">
        <f t="shared" si="7"/>
        <v>3.6510369585172833</v>
      </c>
      <c r="AC22">
        <f t="shared" si="8"/>
        <v>27.738585587098928</v>
      </c>
      <c r="AE22">
        <f t="shared" si="9"/>
        <v>6.9468004738851477</v>
      </c>
      <c r="AF22">
        <f t="shared" si="10"/>
        <v>55.931357754272057</v>
      </c>
      <c r="AH22">
        <f t="shared" si="11"/>
        <v>1.7145019126385515</v>
      </c>
      <c r="AI22">
        <f t="shared" si="12"/>
        <v>22.884191746634023</v>
      </c>
    </row>
    <row r="23" spans="1:35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>
        <v>1.1072015762329099</v>
      </c>
      <c r="U23">
        <v>0.46378690004348749</v>
      </c>
      <c r="V23">
        <f t="shared" si="5"/>
        <v>101.69925526877898</v>
      </c>
      <c r="X23">
        <v>0.97504770755767822</v>
      </c>
      <c r="Y23">
        <v>0.45917254686355591</v>
      </c>
      <c r="Z23">
        <f t="shared" si="6"/>
        <v>90.460608740819751</v>
      </c>
      <c r="AB23">
        <f t="shared" si="7"/>
        <v>3.7662477752224741</v>
      </c>
      <c r="AC23">
        <f t="shared" si="8"/>
        <v>18.874153622672829</v>
      </c>
      <c r="AE23">
        <f t="shared" si="9"/>
        <v>10.709086714619533</v>
      </c>
      <c r="AF23">
        <f t="shared" si="10"/>
        <v>37.491669644102778</v>
      </c>
      <c r="AH23">
        <f t="shared" si="11"/>
        <v>2.5049787463575406</v>
      </c>
      <c r="AI23">
        <f t="shared" si="12"/>
        <v>36.123724316244484</v>
      </c>
    </row>
    <row r="24" spans="1:35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>
        <v>1.042928218841553</v>
      </c>
      <c r="U24">
        <v>0.4536978006362915</v>
      </c>
      <c r="V24">
        <f t="shared" si="5"/>
        <v>97.925838586523</v>
      </c>
      <c r="X24">
        <v>0.94797658920288086</v>
      </c>
      <c r="Y24">
        <v>0.43526840209960938</v>
      </c>
      <c r="Z24">
        <f t="shared" si="6"/>
        <v>92.779072377486202</v>
      </c>
      <c r="AB24">
        <f t="shared" si="7"/>
        <v>3.8700182309803726</v>
      </c>
      <c r="AC24">
        <f t="shared" si="8"/>
        <v>18.622274506466983</v>
      </c>
      <c r="AE24">
        <f t="shared" si="9"/>
        <v>6.8179993897284765</v>
      </c>
      <c r="AF24">
        <f t="shared" si="10"/>
        <v>28.686691807434627</v>
      </c>
      <c r="AH24">
        <f t="shared" si="11"/>
        <v>2.9070640744314749</v>
      </c>
      <c r="AI24">
        <f t="shared" si="12"/>
        <v>23.459383395623266</v>
      </c>
    </row>
    <row r="25" spans="1:35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>
        <v>1.428875327110291</v>
      </c>
      <c r="U25">
        <v>0.52277225255966187</v>
      </c>
      <c r="V25">
        <f t="shared" si="5"/>
        <v>116.43709556087644</v>
      </c>
      <c r="X25">
        <v>1.2423417568206789</v>
      </c>
      <c r="Y25">
        <v>0.42533254623413091</v>
      </c>
      <c r="Z25">
        <f t="shared" si="6"/>
        <v>124.42911766901474</v>
      </c>
      <c r="AB25">
        <f t="shared" si="7"/>
        <v>3.333571561554558</v>
      </c>
      <c r="AC25">
        <f t="shared" si="8"/>
        <v>3.8276534915302731</v>
      </c>
      <c r="AE25">
        <f t="shared" si="9"/>
        <v>10.842861462283071</v>
      </c>
      <c r="AF25">
        <f t="shared" si="10"/>
        <v>24.549651575932593</v>
      </c>
      <c r="AH25">
        <f t="shared" si="11"/>
        <v>3.6272006189838635</v>
      </c>
      <c r="AI25">
        <f t="shared" si="12"/>
        <v>1.3347976637674037</v>
      </c>
    </row>
    <row r="26" spans="1:35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>
        <v>1.999053478240967</v>
      </c>
      <c r="U26">
        <v>0.89127510786056519</v>
      </c>
      <c r="V26">
        <f t="shared" si="5"/>
        <v>95.548129570897459</v>
      </c>
      <c r="X26">
        <v>1.546310186386108</v>
      </c>
      <c r="Y26">
        <v>0.83409583568572998</v>
      </c>
      <c r="Z26">
        <f t="shared" si="6"/>
        <v>78.975106222321756</v>
      </c>
      <c r="AB26">
        <f t="shared" si="7"/>
        <v>5.5670046427003035</v>
      </c>
      <c r="AC26">
        <f t="shared" si="8"/>
        <v>51.846682582848466</v>
      </c>
      <c r="AE26">
        <f t="shared" si="9"/>
        <v>25.419002336468218</v>
      </c>
      <c r="AF26">
        <f t="shared" si="10"/>
        <v>40.917516421161956</v>
      </c>
      <c r="AH26">
        <f t="shared" si="11"/>
        <v>2.9857465094354811</v>
      </c>
      <c r="AI26">
        <f t="shared" si="12"/>
        <v>31.87702942159909</v>
      </c>
    </row>
    <row r="27" spans="1:35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>
        <v>1.828563451766968</v>
      </c>
      <c r="U27">
        <v>0.78356689214706421</v>
      </c>
      <c r="V27">
        <f t="shared" si="5"/>
        <v>99.413076130037794</v>
      </c>
      <c r="X27">
        <v>1.3802802562713621</v>
      </c>
      <c r="Y27">
        <v>0.68571579456329346</v>
      </c>
      <c r="Z27">
        <f t="shared" si="6"/>
        <v>85.749713492701531</v>
      </c>
      <c r="AB27">
        <f t="shared" si="7"/>
        <v>4.7754027436527533</v>
      </c>
      <c r="AC27">
        <f t="shared" si="8"/>
        <v>10.576503028221776</v>
      </c>
      <c r="AE27">
        <f t="shared" si="9"/>
        <v>24.799580382675941</v>
      </c>
      <c r="AF27">
        <f t="shared" si="10"/>
        <v>22.310016881097688</v>
      </c>
      <c r="AH27">
        <f t="shared" si="11"/>
        <v>5.7957783052578469</v>
      </c>
      <c r="AI27">
        <f t="shared" si="12"/>
        <v>7.0360568436709334</v>
      </c>
    </row>
    <row r="28" spans="1:35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>
        <v>2.899238109588623</v>
      </c>
      <c r="U28">
        <v>1.037422895431519</v>
      </c>
      <c r="V28">
        <f t="shared" si="5"/>
        <v>119.05225093650134</v>
      </c>
      <c r="X28">
        <v>2.234885692596436</v>
      </c>
      <c r="Y28">
        <v>0.82216966152191162</v>
      </c>
      <c r="Z28">
        <f t="shared" si="6"/>
        <v>115.79863044329494</v>
      </c>
      <c r="AB28">
        <f t="shared" si="7"/>
        <v>4.1292825652155356</v>
      </c>
      <c r="AC28">
        <f t="shared" si="8"/>
        <v>9.3694273270283777</v>
      </c>
      <c r="AE28">
        <f t="shared" si="9"/>
        <v>23.377084539283508</v>
      </c>
      <c r="AF28">
        <f t="shared" si="10"/>
        <v>29.096925763006347</v>
      </c>
      <c r="AH28">
        <f t="shared" si="11"/>
        <v>4.8944341207525381</v>
      </c>
      <c r="AI28">
        <f t="shared" si="12"/>
        <v>2.3108090495161324</v>
      </c>
    </row>
    <row r="29" spans="1:35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>
        <v>2.488350629806519</v>
      </c>
      <c r="U29">
        <v>0.75081330537796021</v>
      </c>
      <c r="V29">
        <f t="shared" si="5"/>
        <v>141.18519911817518</v>
      </c>
      <c r="X29">
        <v>1.856438040733337</v>
      </c>
      <c r="Y29">
        <v>0.5606423020362854</v>
      </c>
      <c r="Z29">
        <f t="shared" si="6"/>
        <v>141.06008801625333</v>
      </c>
      <c r="AB29">
        <f t="shared" si="7"/>
        <v>4.1711175630894726</v>
      </c>
      <c r="AC29">
        <f t="shared" si="8"/>
        <v>11.894673351330512</v>
      </c>
      <c r="AE29">
        <f t="shared" si="9"/>
        <v>26.859578374025951</v>
      </c>
      <c r="AF29">
        <f t="shared" si="10"/>
        <v>44.776958229456284</v>
      </c>
      <c r="AH29">
        <f t="shared" si="11"/>
        <v>5.3562049078084657</v>
      </c>
      <c r="AI29">
        <f t="shared" si="12"/>
        <v>8.1068843108919104</v>
      </c>
    </row>
    <row r="30" spans="1:35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>
        <v>3.400421142578125</v>
      </c>
      <c r="U30">
        <v>1.117282390594482</v>
      </c>
      <c r="V30">
        <f t="shared" si="5"/>
        <v>129.65202631120223</v>
      </c>
      <c r="X30">
        <v>2.7297852039337158</v>
      </c>
      <c r="Y30">
        <v>0.89298427104949951</v>
      </c>
      <c r="Z30">
        <f t="shared" si="6"/>
        <v>130.22495647400189</v>
      </c>
      <c r="AB30">
        <f t="shared" si="7"/>
        <v>4.108458406320378</v>
      </c>
      <c r="AC30">
        <f t="shared" si="8"/>
        <v>9.4979361646505289</v>
      </c>
      <c r="AE30">
        <f t="shared" si="9"/>
        <v>21.560831608269584</v>
      </c>
      <c r="AF30">
        <f t="shared" si="10"/>
        <v>32.766403331330892</v>
      </c>
      <c r="AH30">
        <f t="shared" si="11"/>
        <v>2.4135700878091044</v>
      </c>
      <c r="AI30">
        <f t="shared" si="12"/>
        <v>6.1131106126267989</v>
      </c>
    </row>
    <row r="31" spans="1:35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>
        <v>4.8900747299194336</v>
      </c>
      <c r="U31">
        <v>1.8915525674819951</v>
      </c>
      <c r="V31">
        <f t="shared" si="5"/>
        <v>110.13025269997745</v>
      </c>
      <c r="X31">
        <v>4.2812275886535636</v>
      </c>
      <c r="Y31">
        <v>2.2499954700469971</v>
      </c>
      <c r="Z31">
        <f t="shared" si="6"/>
        <v>81.058063941426369</v>
      </c>
      <c r="AB31">
        <f t="shared" si="7"/>
        <v>4.1427571444456763</v>
      </c>
      <c r="AC31">
        <f t="shared" si="8"/>
        <v>1.0708962384233855</v>
      </c>
      <c r="AE31">
        <f t="shared" si="9"/>
        <v>8.7529129304889004</v>
      </c>
      <c r="AF31">
        <f t="shared" si="10"/>
        <v>16.975263684238474</v>
      </c>
      <c r="AH31">
        <f t="shared" si="11"/>
        <v>4.7875550171563797</v>
      </c>
      <c r="AI31">
        <f t="shared" si="12"/>
        <v>1.2423530682088899</v>
      </c>
    </row>
    <row r="32" spans="1:35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>
        <v>4.3625879287719727</v>
      </c>
      <c r="U32">
        <v>1.395170927047729</v>
      </c>
      <c r="V32">
        <f t="shared" si="5"/>
        <v>133.2067800522955</v>
      </c>
      <c r="X32">
        <v>3.3504526615142818</v>
      </c>
      <c r="Y32">
        <v>1.1225990056991579</v>
      </c>
      <c r="Z32">
        <f t="shared" si="6"/>
        <v>127.14180940971868</v>
      </c>
      <c r="AB32">
        <f t="shared" si="7"/>
        <v>4.0636118141049433</v>
      </c>
      <c r="AC32">
        <f t="shared" si="8"/>
        <v>12.452502537060967</v>
      </c>
      <c r="AE32">
        <f t="shared" si="9"/>
        <v>24.61332596680775</v>
      </c>
      <c r="AF32">
        <f t="shared" si="10"/>
        <v>38.80916595838513</v>
      </c>
      <c r="AH32">
        <f t="shared" si="11"/>
        <v>4.2973903420754187</v>
      </c>
      <c r="AI32">
        <f t="shared" si="12"/>
        <v>11.690280141195684</v>
      </c>
    </row>
    <row r="33" spans="1:35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>
        <v>4.344942569732666</v>
      </c>
      <c r="U33">
        <v>1.4827631711959841</v>
      </c>
      <c r="V33">
        <f t="shared" si="5"/>
        <v>124.83081465186743</v>
      </c>
      <c r="X33">
        <v>3.031828880310059</v>
      </c>
      <c r="Y33">
        <v>1.185233354568481</v>
      </c>
      <c r="Z33">
        <f t="shared" si="6"/>
        <v>108.97085931062652</v>
      </c>
      <c r="AB33">
        <f t="shared" si="7"/>
        <v>64.403865791268757</v>
      </c>
      <c r="AC33">
        <f t="shared" si="8"/>
        <v>61.302675656108597</v>
      </c>
      <c r="AE33">
        <f t="shared" si="9"/>
        <v>23.492001186126245</v>
      </c>
      <c r="AF33">
        <f t="shared" si="10"/>
        <v>34.186712325428424</v>
      </c>
      <c r="AH33">
        <f t="shared" si="11"/>
        <v>13.829329231751398</v>
      </c>
      <c r="AI33">
        <f t="shared" si="12"/>
        <v>7.2609370650209071</v>
      </c>
    </row>
    <row r="34" spans="1:35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>
        <v>4.2311654090881348</v>
      </c>
      <c r="U34">
        <v>1.8176496028900151</v>
      </c>
      <c r="V34">
        <f t="shared" si="5"/>
        <v>99.165222912261541</v>
      </c>
      <c r="X34">
        <v>3.2388663291931148</v>
      </c>
      <c r="Y34">
        <v>1.499395608901978</v>
      </c>
      <c r="Z34">
        <f t="shared" si="6"/>
        <v>92.020872099947198</v>
      </c>
      <c r="AB34">
        <f t="shared" si="7"/>
        <v>4.6146258694841285</v>
      </c>
      <c r="AC34">
        <f t="shared" si="8"/>
        <v>5.8941098486752752</v>
      </c>
      <c r="AE34">
        <f t="shared" si="9"/>
        <v>24.655021921696225</v>
      </c>
      <c r="AF34">
        <f t="shared" si="10"/>
        <v>14.497612780473398</v>
      </c>
      <c r="AH34">
        <f t="shared" si="11"/>
        <v>4.5792555403731283</v>
      </c>
      <c r="AI34">
        <f t="shared" si="12"/>
        <v>5.5498829038124056</v>
      </c>
    </row>
    <row r="35" spans="1:35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>
        <v>3.729662179946899</v>
      </c>
      <c r="U35">
        <v>1.5458499193191531</v>
      </c>
      <c r="V35">
        <f t="shared" si="5"/>
        <v>102.78073613644416</v>
      </c>
      <c r="X35">
        <v>2.78761887550354</v>
      </c>
      <c r="Y35">
        <v>1.449684262275696</v>
      </c>
      <c r="Z35">
        <f t="shared" si="6"/>
        <v>81.916148969306022</v>
      </c>
      <c r="AB35">
        <f t="shared" si="7"/>
        <v>4.1841537820301911</v>
      </c>
      <c r="AC35">
        <f t="shared" si="8"/>
        <v>12.540884875474065</v>
      </c>
      <c r="AE35">
        <f t="shared" si="9"/>
        <v>28.511549167765793</v>
      </c>
      <c r="AF35">
        <f t="shared" si="10"/>
        <v>18.102981077175727</v>
      </c>
      <c r="AH35">
        <f t="shared" si="11"/>
        <v>3.9480781647184915</v>
      </c>
      <c r="AI35">
        <f t="shared" si="12"/>
        <v>10.755921940231957</v>
      </c>
    </row>
    <row r="36" spans="1:35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>
        <v>3.4584255218505859</v>
      </c>
      <c r="U36">
        <v>1.3760194778442381</v>
      </c>
      <c r="V36">
        <f t="shared" si="5"/>
        <v>107.06891477891692</v>
      </c>
      <c r="X36">
        <v>2.571627140045166</v>
      </c>
      <c r="Y36">
        <v>1.2581450939178469</v>
      </c>
      <c r="Z36">
        <f t="shared" si="6"/>
        <v>87.073665449534516</v>
      </c>
      <c r="AB36">
        <f t="shared" si="7"/>
        <v>4.111652548969329</v>
      </c>
      <c r="AC36">
        <f t="shared" si="8"/>
        <v>29.215118735809014</v>
      </c>
      <c r="AE36">
        <f t="shared" si="9"/>
        <v>30.951363947390607</v>
      </c>
      <c r="AF36">
        <f t="shared" si="10"/>
        <v>19.893654948526454</v>
      </c>
      <c r="AH36">
        <f t="shared" si="11"/>
        <v>2.626764860084589</v>
      </c>
      <c r="AI36">
        <f t="shared" si="12"/>
        <v>9.623167545338239</v>
      </c>
    </row>
    <row r="37" spans="1:35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>
        <v>5.6507425308227539</v>
      </c>
      <c r="U37">
        <v>2.348324060440063</v>
      </c>
      <c r="V37">
        <f t="shared" si="5"/>
        <v>102.50783157291923</v>
      </c>
      <c r="X37">
        <v>5.4126324653625488</v>
      </c>
      <c r="Y37">
        <v>3.2283375263214111</v>
      </c>
      <c r="Z37">
        <f t="shared" si="6"/>
        <v>71.423176056409957</v>
      </c>
      <c r="AB37">
        <f t="shared" si="7"/>
        <v>5.3921708259311494</v>
      </c>
      <c r="AC37">
        <f t="shared" si="8"/>
        <v>3.2215962646755849</v>
      </c>
      <c r="AE37">
        <f t="shared" si="9"/>
        <v>0.78932298360599262</v>
      </c>
      <c r="AF37">
        <f t="shared" si="10"/>
        <v>26.463203468401609</v>
      </c>
      <c r="AH37">
        <f t="shared" si="11"/>
        <v>4.9698462811849566</v>
      </c>
      <c r="AI37">
        <f t="shared" si="12"/>
        <v>1.0940541842992144</v>
      </c>
    </row>
    <row r="38" spans="1:35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>
        <v>3.788763284683228</v>
      </c>
      <c r="U38">
        <v>1.2012449502944951</v>
      </c>
      <c r="V38">
        <f t="shared" si="5"/>
        <v>134.3616882048486</v>
      </c>
      <c r="X38">
        <v>2.935302734375</v>
      </c>
      <c r="Y38">
        <v>0.92695754766464233</v>
      </c>
      <c r="Z38">
        <f t="shared" si="6"/>
        <v>134.89709863030177</v>
      </c>
      <c r="AB38">
        <f t="shared" si="7"/>
        <v>4.1069042972819183</v>
      </c>
      <c r="AC38">
        <f t="shared" si="8"/>
        <v>8.2463538883684944</v>
      </c>
      <c r="AE38">
        <f t="shared" si="9"/>
        <v>22.277336927004292</v>
      </c>
      <c r="AF38">
        <f t="shared" si="10"/>
        <v>36.156979347633332</v>
      </c>
      <c r="AH38">
        <f t="shared" si="11"/>
        <v>5.2669764603840576</v>
      </c>
      <c r="AI38">
        <f t="shared" si="12"/>
        <v>5.0674466040966113</v>
      </c>
    </row>
    <row r="39" spans="1:35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>
        <v>6.186798095703125</v>
      </c>
      <c r="U39">
        <v>2.3957376480102539</v>
      </c>
      <c r="V39">
        <f t="shared" si="5"/>
        <v>110.01103239346604</v>
      </c>
      <c r="X39">
        <v>5.8588285446166992</v>
      </c>
      <c r="Y39">
        <v>3.1004500389099121</v>
      </c>
      <c r="Z39">
        <f t="shared" si="6"/>
        <v>80.499949174369604</v>
      </c>
      <c r="AB39">
        <f t="shared" si="7"/>
        <v>5.5950694182904614</v>
      </c>
      <c r="AC39">
        <f t="shared" si="8"/>
        <v>4.375201898579979</v>
      </c>
      <c r="AE39">
        <f t="shared" si="9"/>
        <v>1.383605972597473</v>
      </c>
      <c r="AF39">
        <f t="shared" si="10"/>
        <v>21.26794676097624</v>
      </c>
      <c r="AH39">
        <f t="shared" si="11"/>
        <v>6.6113787200857699</v>
      </c>
      <c r="AI39">
        <f t="shared" si="12"/>
        <v>1.8912891948441348</v>
      </c>
    </row>
    <row r="40" spans="1:35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>
        <v>6.6462020874023438</v>
      </c>
      <c r="U40">
        <v>2.687197208404541</v>
      </c>
      <c r="V40">
        <f t="shared" si="5"/>
        <v>105.36189125484339</v>
      </c>
      <c r="X40">
        <v>6.5131745338439941</v>
      </c>
      <c r="Y40">
        <v>4.4666094779968262</v>
      </c>
      <c r="Z40">
        <f t="shared" si="6"/>
        <v>62.118975973910089</v>
      </c>
      <c r="AB40">
        <f t="shared" si="7"/>
        <v>3.0521090890563718</v>
      </c>
      <c r="AC40">
        <f t="shared" si="8"/>
        <v>0.1765696303101032</v>
      </c>
      <c r="AE40">
        <f t="shared" si="9"/>
        <v>2.1437308607093337</v>
      </c>
      <c r="AF40">
        <f t="shared" si="10"/>
        <v>36.338935149497971</v>
      </c>
      <c r="AH40">
        <f t="shared" si="11"/>
        <v>4.1023803138491441</v>
      </c>
      <c r="AI40">
        <f t="shared" si="12"/>
        <v>5.8162440595301304</v>
      </c>
    </row>
    <row r="41" spans="1:35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>
        <v>3.117445707321167</v>
      </c>
      <c r="U41">
        <v>1.3539582490921021</v>
      </c>
      <c r="V41">
        <f t="shared" si="5"/>
        <v>98.085132003700153</v>
      </c>
      <c r="X41">
        <v>2.284206628799438</v>
      </c>
      <c r="Y41">
        <v>1.020569920539856</v>
      </c>
      <c r="Z41">
        <f t="shared" si="6"/>
        <v>95.345934174494772</v>
      </c>
      <c r="AB41">
        <f t="shared" si="7"/>
        <v>3.8151692737918483</v>
      </c>
      <c r="AC41">
        <f t="shared" si="8"/>
        <v>14.367041283621774</v>
      </c>
      <c r="AE41">
        <f t="shared" si="9"/>
        <v>36.216276646035425</v>
      </c>
      <c r="AF41">
        <f t="shared" si="10"/>
        <v>53.857143565652898</v>
      </c>
      <c r="AH41">
        <f t="shared" si="11"/>
        <v>0.19196763089059499</v>
      </c>
      <c r="AI41">
        <f t="shared" si="12"/>
        <v>15.97253673706617</v>
      </c>
    </row>
    <row r="42" spans="1:35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>
        <v>2.380269050598145</v>
      </c>
      <c r="U42">
        <v>0.97218215465545654</v>
      </c>
      <c r="V42">
        <f t="shared" si="5"/>
        <v>104.30087687788139</v>
      </c>
      <c r="X42">
        <v>1.682604312896729</v>
      </c>
      <c r="Y42">
        <v>0.67118847370147705</v>
      </c>
      <c r="Z42">
        <f t="shared" si="6"/>
        <v>106.79405149029421</v>
      </c>
      <c r="AB42">
        <f t="shared" si="7"/>
        <v>4.064183722833314</v>
      </c>
      <c r="AC42">
        <f t="shared" si="8"/>
        <v>1.231517598654859</v>
      </c>
      <c r="AE42">
        <f t="shared" si="9"/>
        <v>34.584928791029348</v>
      </c>
      <c r="AF42">
        <f t="shared" si="10"/>
        <v>55.347813977957614</v>
      </c>
      <c r="AH42">
        <f t="shared" si="11"/>
        <v>4.8623593295980436</v>
      </c>
      <c r="AI42">
        <f t="shared" si="12"/>
        <v>7.2511582910910786</v>
      </c>
    </row>
    <row r="43" spans="1:35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>
        <v>3.051730632781982</v>
      </c>
      <c r="U43">
        <v>1.186030268669128</v>
      </c>
      <c r="V43">
        <f t="shared" si="5"/>
        <v>109.61247375724629</v>
      </c>
      <c r="X43">
        <v>2.0290639400482182</v>
      </c>
      <c r="Y43">
        <v>0.82050019502639771</v>
      </c>
      <c r="Z43">
        <f t="shared" si="6"/>
        <v>105.34807371864109</v>
      </c>
      <c r="AB43">
        <f t="shared" si="7"/>
        <v>4.3835484569684775</v>
      </c>
      <c r="AC43">
        <f t="shared" si="8"/>
        <v>2.0707287233986746</v>
      </c>
      <c r="AE43">
        <f t="shared" si="9"/>
        <v>39.769654336446933</v>
      </c>
      <c r="AF43">
        <f t="shared" si="10"/>
        <v>52.854710365646959</v>
      </c>
      <c r="AH43">
        <f t="shared" si="11"/>
        <v>7.0686113379033424</v>
      </c>
      <c r="AI43">
        <f t="shared" si="12"/>
        <v>5.7454628088459696</v>
      </c>
    </row>
    <row r="44" spans="1:35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>
        <v>3.8110892772674561</v>
      </c>
      <c r="U44">
        <v>1.3752356767654419</v>
      </c>
      <c r="V44">
        <f t="shared" si="5"/>
        <v>118.0542283763864</v>
      </c>
      <c r="X44">
        <v>3.0317082405090332</v>
      </c>
      <c r="Y44">
        <v>1.65027928352356</v>
      </c>
      <c r="Z44">
        <f t="shared" si="6"/>
        <v>78.259940099466448</v>
      </c>
      <c r="AB44">
        <f t="shared" si="7"/>
        <v>3.9787767271886918</v>
      </c>
      <c r="AC44">
        <f t="shared" si="8"/>
        <v>56.834822043922692</v>
      </c>
      <c r="AE44">
        <f t="shared" si="9"/>
        <v>20.451620646885456</v>
      </c>
      <c r="AF44">
        <f t="shared" si="10"/>
        <v>26.5748436967733</v>
      </c>
      <c r="AH44">
        <f t="shared" si="11"/>
        <v>4.1811554832796123</v>
      </c>
      <c r="AI44">
        <f t="shared" si="12"/>
        <v>51.889487668988501</v>
      </c>
    </row>
    <row r="45" spans="1:35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>
        <v>3.5112113952636719</v>
      </c>
      <c r="U45">
        <v>1.2591737508773799</v>
      </c>
      <c r="V45">
        <f t="shared" si="5"/>
        <v>118.79027027152203</v>
      </c>
      <c r="X45">
        <v>2.7036724090576172</v>
      </c>
      <c r="Y45">
        <v>1.1111242771148679</v>
      </c>
      <c r="Z45">
        <f t="shared" si="6"/>
        <v>103.65756131273389</v>
      </c>
      <c r="AB45">
        <f t="shared" si="7"/>
        <v>4.7073043691195764</v>
      </c>
      <c r="AC45">
        <f t="shared" si="8"/>
        <v>3.2827402662356167</v>
      </c>
      <c r="AE45">
        <f t="shared" si="9"/>
        <v>22.333335491034482</v>
      </c>
      <c r="AF45">
        <f t="shared" si="10"/>
        <v>20.888416942912809</v>
      </c>
      <c r="AH45">
        <f t="shared" si="11"/>
        <v>5.8019507679737607</v>
      </c>
      <c r="AI45">
        <f t="shared" si="12"/>
        <v>6.6747577875257162</v>
      </c>
    </row>
    <row r="46" spans="1:35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>
        <v>5.0375103950500488</v>
      </c>
      <c r="U46">
        <v>1.879160523414612</v>
      </c>
      <c r="V46">
        <f t="shared" si="5"/>
        <v>114.19882350244472</v>
      </c>
      <c r="X46">
        <v>4.0133037567138672</v>
      </c>
      <c r="Y46">
        <v>1.6114711761474609</v>
      </c>
      <c r="Z46">
        <f t="shared" si="6"/>
        <v>106.09356539094222</v>
      </c>
      <c r="AB46">
        <f t="shared" si="7"/>
        <v>3.8844941859082596</v>
      </c>
      <c r="AC46">
        <f t="shared" si="8"/>
        <v>10.771184902682798</v>
      </c>
      <c r="AE46">
        <f t="shared" si="9"/>
        <v>19.789560674626031</v>
      </c>
      <c r="AF46">
        <f t="shared" si="10"/>
        <v>23.563948146673603</v>
      </c>
      <c r="AH46">
        <f t="shared" si="11"/>
        <v>4.5655778014917621</v>
      </c>
      <c r="AI46">
        <f t="shared" si="12"/>
        <v>5.9620710249514079</v>
      </c>
    </row>
    <row r="47" spans="1:35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>
        <v>6.8021421432495117</v>
      </c>
      <c r="U47">
        <v>2.712111234664917</v>
      </c>
      <c r="V47">
        <f t="shared" si="5"/>
        <v>106.84341484604528</v>
      </c>
      <c r="X47">
        <v>6.1517362594604492</v>
      </c>
      <c r="Y47">
        <v>3.1605591773986821</v>
      </c>
      <c r="Z47">
        <f t="shared" si="6"/>
        <v>82.916953368222082</v>
      </c>
      <c r="AB47">
        <f t="shared" si="7"/>
        <v>6.2759463050099438</v>
      </c>
      <c r="AC47">
        <f t="shared" si="8"/>
        <v>1.0075647763815918</v>
      </c>
      <c r="AE47">
        <f t="shared" si="9"/>
        <v>4.0719422161798065</v>
      </c>
      <c r="AF47">
        <f t="shared" si="10"/>
        <v>13.092856260937701</v>
      </c>
      <c r="AH47">
        <f t="shared" si="11"/>
        <v>5.8791881967495474</v>
      </c>
      <c r="AI47">
        <f t="shared" si="12"/>
        <v>1.2772511743737713</v>
      </c>
    </row>
    <row r="48" spans="1:35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>
        <v>6.9928774833679199</v>
      </c>
      <c r="U48">
        <v>2.5616440773010249</v>
      </c>
      <c r="V48">
        <f t="shared" si="5"/>
        <v>116.29115576754151</v>
      </c>
      <c r="X48">
        <v>6.5255260467529297</v>
      </c>
      <c r="Y48">
        <v>2.839781761169434</v>
      </c>
      <c r="Z48">
        <f t="shared" si="6"/>
        <v>97.890403074605743</v>
      </c>
      <c r="AB48">
        <f t="shared" si="7"/>
        <v>5.8006759119568931</v>
      </c>
      <c r="AC48">
        <f t="shared" si="8"/>
        <v>0.66094489918848365</v>
      </c>
      <c r="AE48">
        <f t="shared" si="9"/>
        <v>0.67198588246695701</v>
      </c>
      <c r="AF48">
        <f t="shared" si="10"/>
        <v>11.877117296741369</v>
      </c>
      <c r="AH48">
        <f t="shared" si="11"/>
        <v>6.0561739259893246</v>
      </c>
      <c r="AI48">
        <f t="shared" si="12"/>
        <v>2.3089283714804698</v>
      </c>
    </row>
    <row r="49" spans="1:35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19.72645</v>
      </c>
      <c r="M49">
        <v>48.413511</v>
      </c>
      <c r="N49">
        <v>17.357689000000001</v>
      </c>
      <c r="P49">
        <v>25.117999999999999</v>
      </c>
      <c r="Q49">
        <v>49.35</v>
      </c>
      <c r="R49">
        <f t="shared" si="4"/>
        <v>21.682405083838052</v>
      </c>
      <c r="T49">
        <v>11.79590320587158</v>
      </c>
      <c r="U49">
        <v>5.8723592758178711</v>
      </c>
      <c r="V49">
        <f t="shared" si="5"/>
        <v>85.571301367411564</v>
      </c>
      <c r="X49">
        <v>14.01251125335693</v>
      </c>
      <c r="Y49">
        <v>11.848756790161129</v>
      </c>
      <c r="Z49">
        <f t="shared" si="6"/>
        <v>50.379371363106422</v>
      </c>
      <c r="AB49">
        <f>ABS(P49-L49)/P49*100</f>
        <v>21.464885739310454</v>
      </c>
      <c r="AC49">
        <f t="shared" si="8"/>
        <v>1.8976474164133772</v>
      </c>
      <c r="AE49">
        <f t="shared" si="9"/>
        <v>53.038047591880002</v>
      </c>
      <c r="AF49">
        <f t="shared" si="10"/>
        <v>88.100589106752039</v>
      </c>
      <c r="AH49">
        <f t="shared" si="11"/>
        <v>44.213268359913485</v>
      </c>
      <c r="AI49">
        <f t="shared" si="12"/>
        <v>75.990361114161857</v>
      </c>
    </row>
    <row r="50" spans="1:35" x14ac:dyDescent="0.2">
      <c r="AB50" s="2">
        <f>AVERAGE(AB3:AB49)</f>
        <v>8.4064847937735827</v>
      </c>
      <c r="AC50" s="2">
        <f>AVERAGE(AC3:AC49)</f>
        <v>15.722195570633666</v>
      </c>
      <c r="AE50" s="2">
        <f>AVERAGE(AE3:AE49)</f>
        <v>16.681261869728186</v>
      </c>
      <c r="AF50" s="2">
        <f>AVERAGE(AF3:AF49)</f>
        <v>26.901211649600484</v>
      </c>
      <c r="AH50" s="2">
        <f>AVERAGE(AH3:AH49)</f>
        <v>7.3697050497056269</v>
      </c>
      <c r="AI50" s="2">
        <f>AVERAGE(AI3:AI49)</f>
        <v>15.401631173038835</v>
      </c>
    </row>
  </sheetData>
  <phoneticPr fontId="1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2026-04-03T12:14:20Z</dcterms:modified>
</cp:coreProperties>
</file>