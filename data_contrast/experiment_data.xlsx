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data_contrast\"/>
    </mc:Choice>
  </mc:AlternateContent>
  <xr:revisionPtr revIDLastSave="0" documentId="11_5B9DBAD71723DC3934E626514465B8B14E9444D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仿真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50" i="1" l="1"/>
  <c r="AJ50" i="1"/>
  <c r="AI50" i="1"/>
  <c r="AG50" i="1"/>
  <c r="AF50" i="1"/>
  <c r="AP49" i="1"/>
  <c r="AO49" i="1"/>
  <c r="AM49" i="1"/>
  <c r="AL49" i="1"/>
  <c r="AJ49" i="1"/>
  <c r="AI49" i="1"/>
  <c r="AG49" i="1"/>
  <c r="AF49" i="1"/>
  <c r="AD49" i="1"/>
  <c r="Z49" i="1"/>
  <c r="V49" i="1"/>
  <c r="R49" i="1"/>
  <c r="F49" i="1"/>
  <c r="AP48" i="1"/>
  <c r="AO48" i="1"/>
  <c r="AM48" i="1"/>
  <c r="AL48" i="1"/>
  <c r="AJ48" i="1"/>
  <c r="AI48" i="1"/>
  <c r="AG48" i="1"/>
  <c r="AF48" i="1"/>
  <c r="AD48" i="1"/>
  <c r="Z48" i="1"/>
  <c r="V48" i="1"/>
  <c r="R48" i="1"/>
  <c r="F48" i="1"/>
  <c r="AP47" i="1"/>
  <c r="AO47" i="1"/>
  <c r="AM47" i="1"/>
  <c r="AL47" i="1"/>
  <c r="AJ47" i="1"/>
  <c r="AI47" i="1"/>
  <c r="AG47" i="1"/>
  <c r="AF47" i="1"/>
  <c r="AD47" i="1"/>
  <c r="Z47" i="1"/>
  <c r="V47" i="1"/>
  <c r="R47" i="1"/>
  <c r="F47" i="1"/>
  <c r="AP46" i="1"/>
  <c r="AO46" i="1"/>
  <c r="AM46" i="1"/>
  <c r="AL46" i="1"/>
  <c r="AJ46" i="1"/>
  <c r="AI46" i="1"/>
  <c r="AG46" i="1"/>
  <c r="AF46" i="1"/>
  <c r="AD46" i="1"/>
  <c r="Z46" i="1"/>
  <c r="V46" i="1"/>
  <c r="R46" i="1"/>
  <c r="F46" i="1"/>
  <c r="AP45" i="1"/>
  <c r="AO45" i="1"/>
  <c r="AM45" i="1"/>
  <c r="AL45" i="1"/>
  <c r="AJ45" i="1"/>
  <c r="AI45" i="1"/>
  <c r="AG45" i="1"/>
  <c r="AF45" i="1"/>
  <c r="AD45" i="1"/>
  <c r="Z45" i="1"/>
  <c r="V45" i="1"/>
  <c r="R45" i="1"/>
  <c r="F45" i="1"/>
  <c r="AP44" i="1"/>
  <c r="AO44" i="1"/>
  <c r="AM44" i="1"/>
  <c r="AL44" i="1"/>
  <c r="AJ44" i="1"/>
  <c r="AI44" i="1"/>
  <c r="AG44" i="1"/>
  <c r="AF44" i="1"/>
  <c r="AD44" i="1"/>
  <c r="Z44" i="1"/>
  <c r="V44" i="1"/>
  <c r="R44" i="1"/>
  <c r="F44" i="1"/>
  <c r="AP43" i="1"/>
  <c r="AO43" i="1"/>
  <c r="AM43" i="1"/>
  <c r="AL43" i="1"/>
  <c r="AJ43" i="1"/>
  <c r="AI43" i="1"/>
  <c r="AG43" i="1"/>
  <c r="AF43" i="1"/>
  <c r="AD43" i="1"/>
  <c r="Z43" i="1"/>
  <c r="V43" i="1"/>
  <c r="R43" i="1"/>
  <c r="F43" i="1"/>
  <c r="G43" i="1" s="1"/>
  <c r="AP42" i="1"/>
  <c r="AO42" i="1"/>
  <c r="AM42" i="1"/>
  <c r="AL42" i="1"/>
  <c r="AJ42" i="1"/>
  <c r="AI42" i="1"/>
  <c r="AG42" i="1"/>
  <c r="AF42" i="1"/>
  <c r="AD42" i="1"/>
  <c r="Z42" i="1"/>
  <c r="V42" i="1"/>
  <c r="R42" i="1"/>
  <c r="F42" i="1"/>
  <c r="G42" i="1" s="1"/>
  <c r="AP41" i="1"/>
  <c r="AO41" i="1"/>
  <c r="AM41" i="1"/>
  <c r="AL41" i="1"/>
  <c r="AJ41" i="1"/>
  <c r="AI41" i="1"/>
  <c r="AG41" i="1"/>
  <c r="AF41" i="1"/>
  <c r="AD41" i="1"/>
  <c r="Z41" i="1"/>
  <c r="V41" i="1"/>
  <c r="R41" i="1"/>
  <c r="F41" i="1"/>
  <c r="AP40" i="1"/>
  <c r="AO40" i="1"/>
  <c r="AM40" i="1"/>
  <c r="AL40" i="1"/>
  <c r="AJ40" i="1"/>
  <c r="AI40" i="1"/>
  <c r="AG40" i="1"/>
  <c r="AF40" i="1"/>
  <c r="AD40" i="1"/>
  <c r="Z40" i="1"/>
  <c r="V40" i="1"/>
  <c r="R40" i="1"/>
  <c r="F40" i="1"/>
  <c r="AP39" i="1"/>
  <c r="AO39" i="1"/>
  <c r="AM39" i="1"/>
  <c r="AL39" i="1"/>
  <c r="AJ39" i="1"/>
  <c r="AI39" i="1"/>
  <c r="AG39" i="1"/>
  <c r="AF39" i="1"/>
  <c r="AD39" i="1"/>
  <c r="Z39" i="1"/>
  <c r="V39" i="1"/>
  <c r="R39" i="1"/>
  <c r="F39" i="1"/>
  <c r="AP38" i="1"/>
  <c r="AO38" i="1"/>
  <c r="AM38" i="1"/>
  <c r="AL38" i="1"/>
  <c r="AJ38" i="1"/>
  <c r="AI38" i="1"/>
  <c r="AG38" i="1"/>
  <c r="AF38" i="1"/>
  <c r="AD38" i="1"/>
  <c r="Z38" i="1"/>
  <c r="V38" i="1"/>
  <c r="R38" i="1"/>
  <c r="F38" i="1"/>
  <c r="AP37" i="1"/>
  <c r="AO37" i="1"/>
  <c r="AM37" i="1"/>
  <c r="AL37" i="1"/>
  <c r="AJ37" i="1"/>
  <c r="AI37" i="1"/>
  <c r="AG37" i="1"/>
  <c r="AF37" i="1"/>
  <c r="AD37" i="1"/>
  <c r="Z37" i="1"/>
  <c r="V37" i="1"/>
  <c r="R37" i="1"/>
  <c r="F37" i="1"/>
  <c r="AP36" i="1"/>
  <c r="AO36" i="1"/>
  <c r="AM36" i="1"/>
  <c r="AL36" i="1"/>
  <c r="AJ36" i="1"/>
  <c r="AI36" i="1"/>
  <c r="AG36" i="1"/>
  <c r="AF36" i="1"/>
  <c r="AD36" i="1"/>
  <c r="Z36" i="1"/>
  <c r="V36" i="1"/>
  <c r="R36" i="1"/>
  <c r="F36" i="1"/>
  <c r="AP35" i="1"/>
  <c r="AO35" i="1"/>
  <c r="AM35" i="1"/>
  <c r="AL35" i="1"/>
  <c r="AJ35" i="1"/>
  <c r="AI35" i="1"/>
  <c r="AG35" i="1"/>
  <c r="AF35" i="1"/>
  <c r="AD35" i="1"/>
  <c r="Z35" i="1"/>
  <c r="V35" i="1"/>
  <c r="R35" i="1"/>
  <c r="F35" i="1"/>
  <c r="AP34" i="1"/>
  <c r="AO34" i="1"/>
  <c r="AM34" i="1"/>
  <c r="AL34" i="1"/>
  <c r="AJ34" i="1"/>
  <c r="AI34" i="1"/>
  <c r="AG34" i="1"/>
  <c r="AF34" i="1"/>
  <c r="AD34" i="1"/>
  <c r="Z34" i="1"/>
  <c r="V34" i="1"/>
  <c r="R34" i="1"/>
  <c r="F34" i="1"/>
  <c r="G34" i="1" s="1"/>
  <c r="AP33" i="1"/>
  <c r="AO33" i="1"/>
  <c r="AM33" i="1"/>
  <c r="AL33" i="1"/>
  <c r="AJ33" i="1"/>
  <c r="AI33" i="1"/>
  <c r="AG33" i="1"/>
  <c r="AF33" i="1"/>
  <c r="AD33" i="1"/>
  <c r="Z33" i="1"/>
  <c r="V33" i="1"/>
  <c r="R33" i="1"/>
  <c r="F33" i="1"/>
  <c r="AP32" i="1"/>
  <c r="AO32" i="1"/>
  <c r="AM32" i="1"/>
  <c r="AL32" i="1"/>
  <c r="AJ32" i="1"/>
  <c r="AI32" i="1"/>
  <c r="AG32" i="1"/>
  <c r="AF32" i="1"/>
  <c r="AD32" i="1"/>
  <c r="Z32" i="1"/>
  <c r="V32" i="1"/>
  <c r="R32" i="1"/>
  <c r="F32" i="1"/>
  <c r="AP31" i="1"/>
  <c r="AO31" i="1"/>
  <c r="AM31" i="1"/>
  <c r="AL31" i="1"/>
  <c r="AJ31" i="1"/>
  <c r="AI31" i="1"/>
  <c r="AG31" i="1"/>
  <c r="AF31" i="1"/>
  <c r="AD31" i="1"/>
  <c r="Z31" i="1"/>
  <c r="V31" i="1"/>
  <c r="R31" i="1"/>
  <c r="F31" i="1"/>
  <c r="G31" i="1" s="1"/>
  <c r="AP30" i="1"/>
  <c r="AO30" i="1"/>
  <c r="AM30" i="1"/>
  <c r="AL30" i="1"/>
  <c r="AJ30" i="1"/>
  <c r="AI30" i="1"/>
  <c r="AG30" i="1"/>
  <c r="AF30" i="1"/>
  <c r="AD30" i="1"/>
  <c r="Z30" i="1"/>
  <c r="V30" i="1"/>
  <c r="R30" i="1"/>
  <c r="F30" i="1"/>
  <c r="AP29" i="1"/>
  <c r="AO29" i="1"/>
  <c r="AM29" i="1"/>
  <c r="AL29" i="1"/>
  <c r="AJ29" i="1"/>
  <c r="AI29" i="1"/>
  <c r="AG29" i="1"/>
  <c r="AF29" i="1"/>
  <c r="AD29" i="1"/>
  <c r="Z29" i="1"/>
  <c r="V29" i="1"/>
  <c r="R29" i="1"/>
  <c r="F29" i="1"/>
  <c r="AP28" i="1"/>
  <c r="AO28" i="1"/>
  <c r="AM28" i="1"/>
  <c r="AL28" i="1"/>
  <c r="AJ28" i="1"/>
  <c r="AI28" i="1"/>
  <c r="AG28" i="1"/>
  <c r="AF28" i="1"/>
  <c r="AD28" i="1"/>
  <c r="Z28" i="1"/>
  <c r="V28" i="1"/>
  <c r="R28" i="1"/>
  <c r="F28" i="1"/>
  <c r="AP27" i="1"/>
  <c r="AO27" i="1"/>
  <c r="AM27" i="1"/>
  <c r="AL27" i="1"/>
  <c r="AJ27" i="1"/>
  <c r="AI27" i="1"/>
  <c r="AG27" i="1"/>
  <c r="AF27" i="1"/>
  <c r="AD27" i="1"/>
  <c r="Z27" i="1"/>
  <c r="V27" i="1"/>
  <c r="R27" i="1"/>
  <c r="F27" i="1"/>
  <c r="G27" i="1" s="1"/>
  <c r="AP26" i="1"/>
  <c r="AO26" i="1"/>
  <c r="AM26" i="1"/>
  <c r="AL26" i="1"/>
  <c r="AJ26" i="1"/>
  <c r="AI26" i="1"/>
  <c r="AG26" i="1"/>
  <c r="AF26" i="1"/>
  <c r="AD26" i="1"/>
  <c r="Z26" i="1"/>
  <c r="V26" i="1"/>
  <c r="R26" i="1"/>
  <c r="F26" i="1"/>
  <c r="AP25" i="1"/>
  <c r="AO25" i="1"/>
  <c r="AM25" i="1"/>
  <c r="AL25" i="1"/>
  <c r="AJ25" i="1"/>
  <c r="AI25" i="1"/>
  <c r="AG25" i="1"/>
  <c r="AF25" i="1"/>
  <c r="AD25" i="1"/>
  <c r="Z25" i="1"/>
  <c r="V25" i="1"/>
  <c r="R25" i="1"/>
  <c r="F25" i="1"/>
  <c r="AP24" i="1"/>
  <c r="AO24" i="1"/>
  <c r="AM24" i="1"/>
  <c r="AL24" i="1"/>
  <c r="AJ24" i="1"/>
  <c r="AI24" i="1"/>
  <c r="AG24" i="1"/>
  <c r="AF24" i="1"/>
  <c r="AD24" i="1"/>
  <c r="Z24" i="1"/>
  <c r="V24" i="1"/>
  <c r="R24" i="1"/>
  <c r="F24" i="1"/>
  <c r="AP23" i="1"/>
  <c r="AO23" i="1"/>
  <c r="AM23" i="1"/>
  <c r="AL23" i="1"/>
  <c r="AJ23" i="1"/>
  <c r="AI23" i="1"/>
  <c r="AG23" i="1"/>
  <c r="AF23" i="1"/>
  <c r="AD23" i="1"/>
  <c r="Z23" i="1"/>
  <c r="V23" i="1"/>
  <c r="R23" i="1"/>
  <c r="F23" i="1"/>
  <c r="AP22" i="1"/>
  <c r="AO22" i="1"/>
  <c r="AM22" i="1"/>
  <c r="AL22" i="1"/>
  <c r="AJ22" i="1"/>
  <c r="AI22" i="1"/>
  <c r="AG22" i="1"/>
  <c r="AF22" i="1"/>
  <c r="AD22" i="1"/>
  <c r="Z22" i="1"/>
  <c r="V22" i="1"/>
  <c r="R22" i="1"/>
  <c r="F22" i="1"/>
  <c r="AP21" i="1"/>
  <c r="AO21" i="1"/>
  <c r="AM21" i="1"/>
  <c r="AL21" i="1"/>
  <c r="AJ21" i="1"/>
  <c r="AI21" i="1"/>
  <c r="AG21" i="1"/>
  <c r="AF21" i="1"/>
  <c r="AD21" i="1"/>
  <c r="Z21" i="1"/>
  <c r="V21" i="1"/>
  <c r="R21" i="1"/>
  <c r="F21" i="1"/>
  <c r="G21" i="1" s="1"/>
  <c r="AP20" i="1"/>
  <c r="AO20" i="1"/>
  <c r="AM20" i="1"/>
  <c r="AL20" i="1"/>
  <c r="AJ20" i="1"/>
  <c r="AI20" i="1"/>
  <c r="AG20" i="1"/>
  <c r="AF20" i="1"/>
  <c r="AD20" i="1"/>
  <c r="Z20" i="1"/>
  <c r="V20" i="1"/>
  <c r="R20" i="1"/>
  <c r="F20" i="1"/>
  <c r="AP19" i="1"/>
  <c r="AO19" i="1"/>
  <c r="AM19" i="1"/>
  <c r="AL19" i="1"/>
  <c r="AJ19" i="1"/>
  <c r="AI19" i="1"/>
  <c r="AG19" i="1"/>
  <c r="AF19" i="1"/>
  <c r="AD19" i="1"/>
  <c r="Z19" i="1"/>
  <c r="V19" i="1"/>
  <c r="R19" i="1"/>
  <c r="F19" i="1"/>
  <c r="G19" i="1" s="1"/>
  <c r="AP18" i="1"/>
  <c r="AO18" i="1"/>
  <c r="AM18" i="1"/>
  <c r="AL18" i="1"/>
  <c r="AJ18" i="1"/>
  <c r="AI18" i="1"/>
  <c r="AG18" i="1"/>
  <c r="AF18" i="1"/>
  <c r="AD18" i="1"/>
  <c r="Z18" i="1"/>
  <c r="V18" i="1"/>
  <c r="R18" i="1"/>
  <c r="F18" i="1"/>
  <c r="AP17" i="1"/>
  <c r="AO17" i="1"/>
  <c r="AM17" i="1"/>
  <c r="AL17" i="1"/>
  <c r="AJ17" i="1"/>
  <c r="AI17" i="1"/>
  <c r="AG17" i="1"/>
  <c r="AF17" i="1"/>
  <c r="AD17" i="1"/>
  <c r="Z17" i="1"/>
  <c r="V17" i="1"/>
  <c r="R17" i="1"/>
  <c r="F17" i="1"/>
  <c r="AP16" i="1"/>
  <c r="AO16" i="1"/>
  <c r="AM16" i="1"/>
  <c r="AL16" i="1"/>
  <c r="AJ16" i="1"/>
  <c r="AI16" i="1"/>
  <c r="AG16" i="1"/>
  <c r="AF16" i="1"/>
  <c r="AD16" i="1"/>
  <c r="Z16" i="1"/>
  <c r="V16" i="1"/>
  <c r="R16" i="1"/>
  <c r="F16" i="1"/>
  <c r="G16" i="1" s="1"/>
  <c r="AP15" i="1"/>
  <c r="AO15" i="1"/>
  <c r="AM15" i="1"/>
  <c r="AL15" i="1"/>
  <c r="AJ15" i="1"/>
  <c r="AI15" i="1"/>
  <c r="AG15" i="1"/>
  <c r="AF15" i="1"/>
  <c r="AD15" i="1"/>
  <c r="Z15" i="1"/>
  <c r="V15" i="1"/>
  <c r="R15" i="1"/>
  <c r="F15" i="1"/>
  <c r="AP14" i="1"/>
  <c r="AO14" i="1"/>
  <c r="AM14" i="1"/>
  <c r="AL14" i="1"/>
  <c r="AJ14" i="1"/>
  <c r="AI14" i="1"/>
  <c r="AG14" i="1"/>
  <c r="AF14" i="1"/>
  <c r="AD14" i="1"/>
  <c r="Z14" i="1"/>
  <c r="V14" i="1"/>
  <c r="R14" i="1"/>
  <c r="F14" i="1"/>
  <c r="AP13" i="1"/>
  <c r="AO13" i="1"/>
  <c r="AM13" i="1"/>
  <c r="AL13" i="1"/>
  <c r="AJ13" i="1"/>
  <c r="AI13" i="1"/>
  <c r="AG13" i="1"/>
  <c r="AF13" i="1"/>
  <c r="AD13" i="1"/>
  <c r="Z13" i="1"/>
  <c r="V13" i="1"/>
  <c r="R13" i="1"/>
  <c r="F13" i="1"/>
  <c r="AP12" i="1"/>
  <c r="AO12" i="1"/>
  <c r="AM12" i="1"/>
  <c r="AL12" i="1"/>
  <c r="AJ12" i="1"/>
  <c r="AI12" i="1"/>
  <c r="AG12" i="1"/>
  <c r="AF12" i="1"/>
  <c r="AD12" i="1"/>
  <c r="Z12" i="1"/>
  <c r="V12" i="1"/>
  <c r="R12" i="1"/>
  <c r="F12" i="1"/>
  <c r="AP11" i="1"/>
  <c r="AO11" i="1"/>
  <c r="AM11" i="1"/>
  <c r="AL11" i="1"/>
  <c r="AJ11" i="1"/>
  <c r="AI11" i="1"/>
  <c r="AG11" i="1"/>
  <c r="AF11" i="1"/>
  <c r="AD11" i="1"/>
  <c r="Z11" i="1"/>
  <c r="V11" i="1"/>
  <c r="R11" i="1"/>
  <c r="F11" i="1"/>
  <c r="G11" i="1" s="1"/>
  <c r="AP10" i="1"/>
  <c r="AO10" i="1"/>
  <c r="AM10" i="1"/>
  <c r="AL10" i="1"/>
  <c r="AJ10" i="1"/>
  <c r="AI10" i="1"/>
  <c r="AG10" i="1"/>
  <c r="AF10" i="1"/>
  <c r="AD10" i="1"/>
  <c r="Z10" i="1"/>
  <c r="V10" i="1"/>
  <c r="R10" i="1"/>
  <c r="F10" i="1"/>
  <c r="AP9" i="1"/>
  <c r="AO9" i="1"/>
  <c r="AM9" i="1"/>
  <c r="AL9" i="1"/>
  <c r="AJ9" i="1"/>
  <c r="AI9" i="1"/>
  <c r="AG9" i="1"/>
  <c r="AF9" i="1"/>
  <c r="AD9" i="1"/>
  <c r="Z9" i="1"/>
  <c r="V9" i="1"/>
  <c r="R9" i="1"/>
  <c r="F9" i="1"/>
  <c r="AP8" i="1"/>
  <c r="AO8" i="1"/>
  <c r="AM8" i="1"/>
  <c r="AL8" i="1"/>
  <c r="AJ8" i="1"/>
  <c r="AI8" i="1"/>
  <c r="AG8" i="1"/>
  <c r="AF8" i="1"/>
  <c r="AD8" i="1"/>
  <c r="Z8" i="1"/>
  <c r="V8" i="1"/>
  <c r="R8" i="1"/>
  <c r="F8" i="1"/>
  <c r="AP7" i="1"/>
  <c r="AO7" i="1"/>
  <c r="AM7" i="1"/>
  <c r="AL7" i="1"/>
  <c r="AJ7" i="1"/>
  <c r="AI7" i="1"/>
  <c r="AG7" i="1"/>
  <c r="AF7" i="1"/>
  <c r="AD7" i="1"/>
  <c r="Z7" i="1"/>
  <c r="V7" i="1"/>
  <c r="R7" i="1"/>
  <c r="F7" i="1"/>
  <c r="AP6" i="1"/>
  <c r="AO6" i="1"/>
  <c r="AM6" i="1"/>
  <c r="AL6" i="1"/>
  <c r="AJ6" i="1"/>
  <c r="AI6" i="1"/>
  <c r="AG6" i="1"/>
  <c r="AF6" i="1"/>
  <c r="AD6" i="1"/>
  <c r="Z6" i="1"/>
  <c r="V6" i="1"/>
  <c r="R6" i="1"/>
  <c r="F6" i="1"/>
  <c r="G6" i="1" s="1"/>
  <c r="AP5" i="1"/>
  <c r="AO5" i="1"/>
  <c r="AM5" i="1"/>
  <c r="AL5" i="1"/>
  <c r="AJ5" i="1"/>
  <c r="AI5" i="1"/>
  <c r="AG5" i="1"/>
  <c r="AF5" i="1"/>
  <c r="AD5" i="1"/>
  <c r="Z5" i="1"/>
  <c r="V5" i="1"/>
  <c r="R5" i="1"/>
  <c r="F5" i="1"/>
  <c r="AP4" i="1"/>
  <c r="AO4" i="1"/>
  <c r="AM4" i="1"/>
  <c r="AL4" i="1"/>
  <c r="AJ4" i="1"/>
  <c r="AI4" i="1"/>
  <c r="AG4" i="1"/>
  <c r="AF4" i="1"/>
  <c r="AD4" i="1"/>
  <c r="Z4" i="1"/>
  <c r="V4" i="1"/>
  <c r="R4" i="1"/>
  <c r="F4" i="1"/>
  <c r="G4" i="1" s="1"/>
  <c r="AP3" i="1"/>
  <c r="AP50" i="1" s="1"/>
  <c r="AO3" i="1"/>
  <c r="AO50" i="1" s="1"/>
  <c r="AM3" i="1"/>
  <c r="AL3" i="1"/>
  <c r="AL50" i="1" s="1"/>
  <c r="AJ3" i="1"/>
  <c r="AI3" i="1"/>
  <c r="AG3" i="1"/>
  <c r="AF3" i="1"/>
  <c r="AD3" i="1"/>
  <c r="Z3" i="1"/>
  <c r="V3" i="1"/>
  <c r="R3" i="1"/>
  <c r="F3" i="1"/>
  <c r="I9" i="1" l="1"/>
  <c r="H41" i="1"/>
  <c r="I30" i="1"/>
  <c r="H35" i="1"/>
  <c r="H8" i="1"/>
  <c r="H24" i="1"/>
  <c r="H29" i="1"/>
  <c r="H28" i="1"/>
  <c r="I44" i="1"/>
  <c r="I15" i="1"/>
  <c r="I33" i="1"/>
  <c r="G24" i="1"/>
  <c r="G40" i="1"/>
  <c r="H40" i="1" s="1"/>
  <c r="I19" i="1"/>
  <c r="G7" i="1"/>
  <c r="I7" i="1" s="1"/>
  <c r="G14" i="1"/>
  <c r="I14" i="1" s="1"/>
  <c r="G23" i="1"/>
  <c r="H23" i="1" s="1"/>
  <c r="G32" i="1"/>
  <c r="I32" i="1" s="1"/>
  <c r="G46" i="1"/>
  <c r="H46" i="1" s="1"/>
  <c r="H6" i="1"/>
  <c r="I4" i="1"/>
  <c r="I34" i="1"/>
  <c r="G13" i="1"/>
  <c r="H13" i="1" s="1"/>
  <c r="G37" i="1"/>
  <c r="H37" i="1" s="1"/>
  <c r="H15" i="1"/>
  <c r="I20" i="1"/>
  <c r="I42" i="1"/>
  <c r="G3" i="1"/>
  <c r="I3" i="1" s="1"/>
  <c r="G10" i="1"/>
  <c r="H10" i="1" s="1"/>
  <c r="G17" i="1"/>
  <c r="H17" i="1" s="1"/>
  <c r="G25" i="1"/>
  <c r="H25" i="1" s="1"/>
  <c r="G29" i="1"/>
  <c r="G33" i="1"/>
  <c r="G36" i="1"/>
  <c r="I36" i="1" s="1"/>
  <c r="G47" i="1"/>
  <c r="H47" i="1" s="1"/>
  <c r="H4" i="1"/>
  <c r="I6" i="1"/>
  <c r="I29" i="1"/>
  <c r="I35" i="1"/>
  <c r="I47" i="1"/>
  <c r="G22" i="1"/>
  <c r="H22" i="1" s="1"/>
  <c r="G39" i="1"/>
  <c r="I39" i="1" s="1"/>
  <c r="I40" i="1"/>
  <c r="G9" i="1"/>
  <c r="G41" i="1"/>
  <c r="H19" i="1"/>
  <c r="I11" i="1"/>
  <c r="I27" i="1"/>
  <c r="I41" i="1"/>
  <c r="G8" i="1"/>
  <c r="G18" i="1"/>
  <c r="I18" i="1" s="1"/>
  <c r="G28" i="1"/>
  <c r="I28" i="1" s="1"/>
  <c r="G35" i="1"/>
  <c r="G48" i="1"/>
  <c r="H48" i="1" s="1"/>
  <c r="H27" i="1"/>
  <c r="I8" i="1"/>
  <c r="I16" i="1"/>
  <c r="I24" i="1"/>
  <c r="I31" i="1"/>
  <c r="G20" i="1"/>
  <c r="H20" i="1" s="1"/>
  <c r="G38" i="1"/>
  <c r="I38" i="1" s="1"/>
  <c r="H16" i="1"/>
  <c r="I21" i="1"/>
  <c r="I43" i="1"/>
  <c r="G15" i="1"/>
  <c r="G30" i="1"/>
  <c r="G44" i="1"/>
  <c r="H44" i="1" s="1"/>
  <c r="H9" i="1"/>
  <c r="H11" i="1"/>
  <c r="H21" i="1"/>
  <c r="H30" i="1"/>
  <c r="H31" i="1"/>
  <c r="H33" i="1"/>
  <c r="H34" i="1"/>
  <c r="H38" i="1"/>
  <c r="H42" i="1"/>
  <c r="H43" i="1"/>
  <c r="H49" i="1"/>
  <c r="G26" i="1"/>
  <c r="I26" i="1" s="1"/>
  <c r="G5" i="1"/>
  <c r="I5" i="1" s="1"/>
  <c r="G12" i="1"/>
  <c r="H12" i="1" s="1"/>
  <c r="G45" i="1"/>
  <c r="H45" i="1" s="1"/>
  <c r="H3" i="1"/>
  <c r="G49" i="1"/>
  <c r="I49" i="1" s="1"/>
  <c r="I17" i="1" l="1"/>
  <c r="H39" i="1"/>
  <c r="I46" i="1"/>
  <c r="H18" i="1"/>
  <c r="H7" i="1"/>
  <c r="I25" i="1"/>
  <c r="I12" i="1"/>
  <c r="H5" i="1"/>
  <c r="H14" i="1"/>
  <c r="I23" i="1"/>
  <c r="H26" i="1"/>
  <c r="H36" i="1"/>
  <c r="I22" i="1"/>
  <c r="I45" i="1"/>
  <c r="I13" i="1"/>
  <c r="I48" i="1"/>
  <c r="I37" i="1"/>
  <c r="I10" i="1"/>
  <c r="H32" i="1"/>
</calcChain>
</file>

<file path=xl/sharedStrings.xml><?xml version="1.0" encoding="utf-8"?>
<sst xmlns="http://schemas.openxmlformats.org/spreadsheetml/2006/main" count="42" uniqueCount="26">
  <si>
    <t>仿真值</t>
  </si>
  <si>
    <t>实测值</t>
  </si>
  <si>
    <t>模型预测值(使用特征工程)</t>
  </si>
  <si>
    <t>模型预测值(未使用特征工程)</t>
  </si>
  <si>
    <t>迁移学习模型预测值</t>
  </si>
  <si>
    <t>仿真值相对误差</t>
  </si>
  <si>
    <t>使用特征工程相对误差</t>
  </si>
  <si>
    <t>未使用特征工程相对误差</t>
  </si>
  <si>
    <t>迁移学习相对误差</t>
  </si>
  <si>
    <t>N</t>
  </si>
  <si>
    <t>a [mm]</t>
  </si>
  <si>
    <t>d [mm]</t>
  </si>
  <si>
    <t>my_theta [deg]</t>
  </si>
  <si>
    <t>p [mm]</t>
  </si>
  <si>
    <t>d_out [mm]</t>
  </si>
  <si>
    <t>d_in [mm]</t>
  </si>
  <si>
    <t>L_dc [uH]</t>
  </si>
  <si>
    <t>R_dc [Ω]</t>
  </si>
  <si>
    <t>Freq [MHz]</t>
  </si>
  <si>
    <t>L [uH]</t>
  </si>
  <si>
    <t>R [Ω]</t>
  </si>
  <si>
    <t>Q</t>
  </si>
  <si>
    <t>L[uH]</t>
  </si>
  <si>
    <t>R[Ω]</t>
  </si>
  <si>
    <t>L%</t>
  </si>
  <si>
    <t>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</si>
</sst>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</cellXfs>
  <cellStyles count="1">
    <cellStyle name="常规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"/>
  <sheetViews>
    <sheetView tabSelected="1" topLeftCell="N1" zoomScaleNormal="100" workbookViewId="0">
      <selection activeCell="AE6" sqref="AE6"/>
    </sheetView>
  </sheetViews>
  <sheetFormatPr defaultColWidth="8.625" defaultRowHeight="14.25" x14ac:dyDescent="0.2"/>
  <cols>
    <col min="15" max="15" width="8.625" style="1" customWidth="1"/>
    <col min="20" max="20" width="11.125" style="1" customWidth="1"/>
    <col min="21" max="21" width="10.125" style="1" customWidth="1"/>
    <col min="23" max="23" width="10.625" style="1" customWidth="1"/>
  </cols>
  <sheetData>
    <row r="1" spans="1:42" x14ac:dyDescent="0.2">
      <c r="L1" t="s">
        <v>0</v>
      </c>
      <c r="P1" t="s">
        <v>1</v>
      </c>
      <c r="T1" t="s">
        <v>2</v>
      </c>
      <c r="X1" t="s">
        <v>3</v>
      </c>
      <c r="AB1" t="s">
        <v>4</v>
      </c>
      <c r="AF1" t="s">
        <v>5</v>
      </c>
      <c r="AI1" t="s">
        <v>6</v>
      </c>
      <c r="AL1" t="s">
        <v>7</v>
      </c>
      <c r="AO1" t="s">
        <v>8</v>
      </c>
    </row>
    <row r="2" spans="1:42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L2" t="s">
        <v>19</v>
      </c>
      <c r="M2" t="s">
        <v>20</v>
      </c>
      <c r="N2" t="s">
        <v>21</v>
      </c>
      <c r="P2" t="s">
        <v>22</v>
      </c>
      <c r="Q2" t="s">
        <v>23</v>
      </c>
      <c r="R2" t="s">
        <v>21</v>
      </c>
      <c r="T2" t="s">
        <v>22</v>
      </c>
      <c r="U2" t="s">
        <v>23</v>
      </c>
      <c r="V2" t="s">
        <v>21</v>
      </c>
      <c r="X2" t="s">
        <v>22</v>
      </c>
      <c r="Y2" t="s">
        <v>23</v>
      </c>
      <c r="Z2" t="s">
        <v>21</v>
      </c>
      <c r="AB2" t="s">
        <v>22</v>
      </c>
      <c r="AC2" t="s">
        <v>23</v>
      </c>
      <c r="AD2" t="s">
        <v>21</v>
      </c>
      <c r="AF2" t="s">
        <v>24</v>
      </c>
      <c r="AG2" t="s">
        <v>25</v>
      </c>
      <c r="AI2" t="s">
        <v>24</v>
      </c>
      <c r="AJ2" t="s">
        <v>25</v>
      </c>
      <c r="AL2" t="s">
        <v>24</v>
      </c>
      <c r="AM2" t="s">
        <v>25</v>
      </c>
      <c r="AO2" t="s">
        <v>24</v>
      </c>
      <c r="AP2" t="s">
        <v>25</v>
      </c>
    </row>
    <row r="3" spans="1:42" x14ac:dyDescent="0.2">
      <c r="A3">
        <v>2</v>
      </c>
      <c r="B3">
        <v>30</v>
      </c>
      <c r="C3">
        <v>1.8</v>
      </c>
      <c r="D3">
        <v>49.9</v>
      </c>
      <c r="E3">
        <v>0.4</v>
      </c>
      <c r="F3">
        <f t="shared" ref="F3:F49" si="0">B3</f>
        <v>30</v>
      </c>
      <c r="G3">
        <f t="shared" ref="G3:G49" si="1">F3-(A3-1)*2*(C3+E3)-2*C3</f>
        <v>22</v>
      </c>
      <c r="H3">
        <f t="shared" ref="H3:H49" si="2">2.34*0.000001257*(0.5*A3^2*(F3+G3))/(1+2.73*(F3-G3)/(F3+G3))*1000</f>
        <v>0.21542501408450704</v>
      </c>
      <c r="I3">
        <f t="shared" ref="I3:I49" si="3">0.0000000168*4*0.5*(F3+G3)/(0.00007*C3)</f>
        <v>1.3866666666666668E-2</v>
      </c>
      <c r="J3">
        <v>6.78</v>
      </c>
      <c r="L3">
        <v>0.14960399999999999</v>
      </c>
      <c r="M3">
        <v>7.9237000000000002E-2</v>
      </c>
      <c r="N3">
        <v>80.431822999999994</v>
      </c>
      <c r="P3">
        <v>0.17976</v>
      </c>
      <c r="Q3">
        <v>8.6578000000000002E-2</v>
      </c>
      <c r="R3">
        <f t="shared" ref="R3:R49" si="4">6780000*2*3.1415926*P3*0.000001/Q3</f>
        <v>88.449435412259007</v>
      </c>
      <c r="T3">
        <v>0.14365708827972409</v>
      </c>
      <c r="U3">
        <v>7.6557964086532593E-2</v>
      </c>
      <c r="V3">
        <f t="shared" ref="V3:V49" si="5">6780000*2*3.1415926*T3*0.000001/U3</f>
        <v>79.936704295750673</v>
      </c>
      <c r="X3">
        <v>0.1031891107559204</v>
      </c>
      <c r="Y3">
        <v>7.0287048816680908E-2</v>
      </c>
      <c r="Z3">
        <f t="shared" ref="Z3:Z49" si="6">6780000*2*3.1415926*X3*0.000001/Y3</f>
        <v>62.541474481504522</v>
      </c>
      <c r="AB3">
        <v>0.17951631546020511</v>
      </c>
      <c r="AC3">
        <v>9.3129992485046387E-2</v>
      </c>
      <c r="AD3">
        <f t="shared" ref="AD3:AD49" si="7">6780000*2*3.1415926*AB3*0.000001/AC3</f>
        <v>82.115267646067764</v>
      </c>
      <c r="AF3">
        <f t="shared" ref="AF3:AF49" si="8">ABS(P3-L3)/P3*100</f>
        <v>16.775700934579447</v>
      </c>
      <c r="AG3">
        <f t="shared" ref="AG3:AG49" si="9">ABS(Q3-M3)/Q3*100</f>
        <v>8.4790593453302225</v>
      </c>
      <c r="AI3">
        <f t="shared" ref="AI3:AI49" si="10">ABS(P3-T3)/P3*100</f>
        <v>20.083951780304801</v>
      </c>
      <c r="AJ3">
        <f t="shared" ref="AJ3:AJ49" si="11">ABS(Q3-U3)/Q3*100</f>
        <v>11.573420399486485</v>
      </c>
      <c r="AL3">
        <f t="shared" ref="AL3:AL49" si="12">ABS(P3-X3)/P3*100</f>
        <v>42.596177817133736</v>
      </c>
      <c r="AM3">
        <f t="shared" ref="AM3:AM49" si="13">ABS(Q3-Y3)/Q3*100</f>
        <v>18.816502094434028</v>
      </c>
      <c r="AO3">
        <f t="shared" ref="AO3:AO49" si="14">ABS(P3-AB3)/P3*100</f>
        <v>0.13556104794998733</v>
      </c>
      <c r="AP3">
        <f t="shared" ref="AP3:AP49" si="15">ABS(Q3-AC3)/Q3*100</f>
        <v>7.5677337026108074</v>
      </c>
    </row>
    <row r="4" spans="1:42" x14ac:dyDescent="0.2">
      <c r="A4">
        <v>2</v>
      </c>
      <c r="B4">
        <v>30</v>
      </c>
      <c r="C4">
        <v>0.8</v>
      </c>
      <c r="D4">
        <v>69.900000000000006</v>
      </c>
      <c r="E4">
        <v>0.8</v>
      </c>
      <c r="F4">
        <f t="shared" si="0"/>
        <v>30</v>
      </c>
      <c r="G4">
        <f t="shared" si="1"/>
        <v>25.2</v>
      </c>
      <c r="H4">
        <f t="shared" si="2"/>
        <v>0.26242979957835555</v>
      </c>
      <c r="I4">
        <f t="shared" si="3"/>
        <v>3.3120000000000004E-2</v>
      </c>
      <c r="J4">
        <v>6.78</v>
      </c>
      <c r="L4">
        <v>0.15662000000000001</v>
      </c>
      <c r="M4">
        <v>0.112703</v>
      </c>
      <c r="N4">
        <v>59.199742000000001</v>
      </c>
      <c r="P4">
        <v>0.21931999999999999</v>
      </c>
      <c r="Q4">
        <v>0.13755999999999999</v>
      </c>
      <c r="R4">
        <f t="shared" si="4"/>
        <v>67.919679029324811</v>
      </c>
      <c r="T4">
        <v>0.16669690608978269</v>
      </c>
      <c r="U4">
        <v>0.10713550448417659</v>
      </c>
      <c r="V4">
        <f t="shared" si="5"/>
        <v>66.283231777213587</v>
      </c>
      <c r="X4">
        <v>0.17454767227172849</v>
      </c>
      <c r="Y4">
        <v>0.12292706966400151</v>
      </c>
      <c r="Z4">
        <f t="shared" si="6"/>
        <v>60.488955775686705</v>
      </c>
      <c r="AB4">
        <v>0.20203375816345209</v>
      </c>
      <c r="AC4">
        <v>0.1231200098991394</v>
      </c>
      <c r="AD4">
        <f t="shared" si="7"/>
        <v>69.904455231761432</v>
      </c>
      <c r="AF4">
        <f t="shared" si="8"/>
        <v>28.588364034287789</v>
      </c>
      <c r="AG4">
        <f t="shared" si="9"/>
        <v>18.069933120093047</v>
      </c>
      <c r="AI4">
        <f t="shared" si="10"/>
        <v>23.993750642995305</v>
      </c>
      <c r="AJ4">
        <f t="shared" si="11"/>
        <v>22.117254664018169</v>
      </c>
      <c r="AL4">
        <f t="shared" si="12"/>
        <v>20.414156359780915</v>
      </c>
      <c r="AM4">
        <f t="shared" si="13"/>
        <v>10.637489339923293</v>
      </c>
      <c r="AO4">
        <f t="shared" si="14"/>
        <v>7.8817444084205253</v>
      </c>
      <c r="AP4">
        <f t="shared" si="15"/>
        <v>10.497230372826829</v>
      </c>
    </row>
    <row r="5" spans="1:42" x14ac:dyDescent="0.2">
      <c r="A5">
        <v>2</v>
      </c>
      <c r="B5">
        <v>35</v>
      </c>
      <c r="C5">
        <v>1</v>
      </c>
      <c r="D5">
        <v>89.9</v>
      </c>
      <c r="E5">
        <v>1.2</v>
      </c>
      <c r="F5">
        <f t="shared" si="0"/>
        <v>35</v>
      </c>
      <c r="G5">
        <f t="shared" si="1"/>
        <v>28.6</v>
      </c>
      <c r="H5">
        <f t="shared" si="2"/>
        <v>0.29351106287744227</v>
      </c>
      <c r="I5">
        <f t="shared" si="3"/>
        <v>3.0528000000000007E-2</v>
      </c>
      <c r="J5">
        <v>6.78</v>
      </c>
      <c r="L5">
        <v>0.20360604400000001</v>
      </c>
      <c r="M5">
        <v>0.10173750099999999</v>
      </c>
      <c r="N5">
        <v>85.254862779999996</v>
      </c>
      <c r="P5">
        <v>0.23283999999999999</v>
      </c>
      <c r="Q5">
        <v>0.12096999999999999</v>
      </c>
      <c r="R5">
        <f t="shared" si="4"/>
        <v>81.995395457907264</v>
      </c>
      <c r="T5">
        <v>0.19339227676391599</v>
      </c>
      <c r="U5">
        <v>0.1083044707775116</v>
      </c>
      <c r="V5">
        <f t="shared" si="5"/>
        <v>76.068052324183654</v>
      </c>
      <c r="X5">
        <v>0.1994786262512207</v>
      </c>
      <c r="Y5">
        <v>0.1150748729705811</v>
      </c>
      <c r="Z5">
        <f t="shared" si="6"/>
        <v>73.845735323464666</v>
      </c>
      <c r="AB5">
        <v>0.2281389236450195</v>
      </c>
      <c r="AC5">
        <v>0.1241274476051331</v>
      </c>
      <c r="AD5">
        <f t="shared" si="7"/>
        <v>78.29627808958864</v>
      </c>
      <c r="AF5">
        <f t="shared" si="8"/>
        <v>12.55538395464696</v>
      </c>
      <c r="AG5">
        <f t="shared" si="9"/>
        <v>15.898569066710754</v>
      </c>
      <c r="AI5">
        <f t="shared" si="10"/>
        <v>16.941987302905002</v>
      </c>
      <c r="AJ5">
        <f t="shared" si="11"/>
        <v>10.469975384383234</v>
      </c>
      <c r="AL5">
        <f t="shared" si="12"/>
        <v>14.328025145498749</v>
      </c>
      <c r="AM5">
        <f t="shared" si="13"/>
        <v>4.8732140443241283</v>
      </c>
      <c r="AO5">
        <f t="shared" si="14"/>
        <v>2.0190157855095725</v>
      </c>
      <c r="AP5">
        <f t="shared" si="15"/>
        <v>2.6101079648946883</v>
      </c>
    </row>
    <row r="6" spans="1:42" x14ac:dyDescent="0.2">
      <c r="A6">
        <v>2</v>
      </c>
      <c r="B6">
        <v>40</v>
      </c>
      <c r="C6">
        <v>1.8</v>
      </c>
      <c r="D6">
        <v>69.900000000000006</v>
      </c>
      <c r="E6">
        <v>1.2</v>
      </c>
      <c r="F6">
        <f t="shared" si="0"/>
        <v>40</v>
      </c>
      <c r="G6">
        <f t="shared" si="1"/>
        <v>30.4</v>
      </c>
      <c r="H6">
        <f t="shared" si="2"/>
        <v>0.30179591546869822</v>
      </c>
      <c r="I6">
        <f t="shared" si="3"/>
        <v>1.8773333333333336E-2</v>
      </c>
      <c r="J6">
        <v>6.78</v>
      </c>
      <c r="L6">
        <v>0.22009542400000001</v>
      </c>
      <c r="M6">
        <v>8.1930591999999997E-2</v>
      </c>
      <c r="N6">
        <v>114.43911319999999</v>
      </c>
      <c r="P6">
        <v>0.24548</v>
      </c>
      <c r="Q6">
        <v>9.8413E-2</v>
      </c>
      <c r="R6">
        <f t="shared" si="4"/>
        <v>106.26082868762136</v>
      </c>
      <c r="T6">
        <v>0.2295880317687988</v>
      </c>
      <c r="U6">
        <v>8.4868520498275757E-2</v>
      </c>
      <c r="V6">
        <f t="shared" si="5"/>
        <v>115.24236664664285</v>
      </c>
      <c r="X6">
        <v>0.21352458000183111</v>
      </c>
      <c r="Y6">
        <v>7.3583334684371948E-2</v>
      </c>
      <c r="Z6">
        <f t="shared" si="6"/>
        <v>123.61693336601557</v>
      </c>
      <c r="AB6">
        <v>0.26345419883728027</v>
      </c>
      <c r="AC6">
        <v>0.10082051157951349</v>
      </c>
      <c r="AD6">
        <f t="shared" si="7"/>
        <v>111.31809936484808</v>
      </c>
      <c r="AF6">
        <f t="shared" si="8"/>
        <v>10.34079191787518</v>
      </c>
      <c r="AG6">
        <f t="shared" si="9"/>
        <v>16.74820196518753</v>
      </c>
      <c r="AI6">
        <f t="shared" si="10"/>
        <v>6.4738342150892958</v>
      </c>
      <c r="AJ6">
        <f t="shared" si="11"/>
        <v>13.762896671907415</v>
      </c>
      <c r="AL6">
        <f t="shared" si="12"/>
        <v>13.017524848528961</v>
      </c>
      <c r="AM6">
        <f t="shared" si="13"/>
        <v>25.230066470515126</v>
      </c>
      <c r="AO6">
        <f t="shared" si="14"/>
        <v>7.3220624235295215</v>
      </c>
      <c r="AP6">
        <f t="shared" si="15"/>
        <v>2.446334914608328</v>
      </c>
    </row>
    <row r="7" spans="1:42" x14ac:dyDescent="0.2">
      <c r="A7">
        <v>2</v>
      </c>
      <c r="B7">
        <v>45</v>
      </c>
      <c r="C7">
        <v>0.8</v>
      </c>
      <c r="D7">
        <v>9.9</v>
      </c>
      <c r="E7">
        <v>0.6</v>
      </c>
      <c r="F7">
        <f t="shared" si="0"/>
        <v>45</v>
      </c>
      <c r="G7">
        <f t="shared" si="1"/>
        <v>40.6</v>
      </c>
      <c r="H7">
        <f t="shared" si="2"/>
        <v>0.44159632333729454</v>
      </c>
      <c r="I7">
        <f t="shared" si="3"/>
        <v>5.1360000000000003E-2</v>
      </c>
      <c r="J7">
        <v>6.78</v>
      </c>
      <c r="L7">
        <v>0.39931357000000001</v>
      </c>
      <c r="M7">
        <v>0.189874984</v>
      </c>
      <c r="N7">
        <v>89.589246169999996</v>
      </c>
      <c r="P7">
        <v>0.43146000000000001</v>
      </c>
      <c r="Q7">
        <v>0.22389999999999999</v>
      </c>
      <c r="R7">
        <f t="shared" si="4"/>
        <v>82.09108586752015</v>
      </c>
      <c r="T7">
        <v>0.40876591205596918</v>
      </c>
      <c r="U7">
        <v>0.1874705255031586</v>
      </c>
      <c r="V7">
        <f t="shared" si="5"/>
        <v>92.886207211339865</v>
      </c>
      <c r="X7">
        <v>0.40105938911437988</v>
      </c>
      <c r="Y7">
        <v>0.17784106731414789</v>
      </c>
      <c r="Z7">
        <f t="shared" si="6"/>
        <v>96.06964517307199</v>
      </c>
      <c r="AB7">
        <v>0.43852066993713379</v>
      </c>
      <c r="AC7">
        <v>0.2008648216724396</v>
      </c>
      <c r="AD7">
        <f t="shared" si="7"/>
        <v>93.002739249444716</v>
      </c>
      <c r="AF7">
        <f t="shared" si="8"/>
        <v>7.4506165113799661</v>
      </c>
      <c r="AG7">
        <f t="shared" si="9"/>
        <v>15.196523447967838</v>
      </c>
      <c r="AI7">
        <f t="shared" si="10"/>
        <v>5.2598358930215614</v>
      </c>
      <c r="AJ7">
        <f t="shared" si="11"/>
        <v>16.270421838696471</v>
      </c>
      <c r="AL7">
        <f t="shared" si="12"/>
        <v>7.0459859281555941</v>
      </c>
      <c r="AM7">
        <f t="shared" si="13"/>
        <v>20.571207095065695</v>
      </c>
      <c r="AO7">
        <f t="shared" si="14"/>
        <v>1.636459912189723</v>
      </c>
      <c r="AP7">
        <f t="shared" si="15"/>
        <v>10.288154679571409</v>
      </c>
    </row>
    <row r="8" spans="1:42" x14ac:dyDescent="0.2">
      <c r="A8">
        <v>2</v>
      </c>
      <c r="B8">
        <v>50</v>
      </c>
      <c r="C8">
        <v>1.8</v>
      </c>
      <c r="D8">
        <v>9.9</v>
      </c>
      <c r="E8">
        <v>0.8</v>
      </c>
      <c r="F8">
        <f t="shared" si="0"/>
        <v>50</v>
      </c>
      <c r="G8">
        <f t="shared" si="1"/>
        <v>41.199999999999996</v>
      </c>
      <c r="H8">
        <f t="shared" si="2"/>
        <v>0.42464680391585063</v>
      </c>
      <c r="I8">
        <f t="shared" si="3"/>
        <v>2.4319999999999998E-2</v>
      </c>
      <c r="J8">
        <v>6.78</v>
      </c>
      <c r="L8">
        <v>0.36704583099999999</v>
      </c>
      <c r="M8">
        <v>0.12008523</v>
      </c>
      <c r="N8">
        <v>130.20877830000001</v>
      </c>
      <c r="P8">
        <v>0.39315</v>
      </c>
      <c r="Q8">
        <v>0.13231999999999999</v>
      </c>
      <c r="R8">
        <f t="shared" si="4"/>
        <v>126.57336980166569</v>
      </c>
      <c r="T8">
        <v>0.37442409992218018</v>
      </c>
      <c r="U8">
        <v>0.122841864824295</v>
      </c>
      <c r="V8">
        <f t="shared" si="5"/>
        <v>129.84551360402327</v>
      </c>
      <c r="X8">
        <v>0.36836838722228998</v>
      </c>
      <c r="Y8">
        <v>0.12534976005554199</v>
      </c>
      <c r="Z8">
        <f t="shared" si="6"/>
        <v>125.18964287226396</v>
      </c>
      <c r="AB8">
        <v>0.40489709377288818</v>
      </c>
      <c r="AC8">
        <v>0.13737738132476809</v>
      </c>
      <c r="AD8">
        <f t="shared" si="7"/>
        <v>125.55643636178606</v>
      </c>
      <c r="AF8">
        <f t="shared" si="8"/>
        <v>6.6397479333587723</v>
      </c>
      <c r="AG8">
        <f t="shared" si="9"/>
        <v>9.246349758162026</v>
      </c>
      <c r="AI8">
        <f t="shared" si="10"/>
        <v>4.7630421156860798</v>
      </c>
      <c r="AJ8">
        <f t="shared" si="11"/>
        <v>7.1630404894989352</v>
      </c>
      <c r="AL8">
        <f t="shared" si="12"/>
        <v>6.3033480294315183</v>
      </c>
      <c r="AM8">
        <f t="shared" si="13"/>
        <v>5.2677145892215851</v>
      </c>
      <c r="AO8">
        <f t="shared" si="14"/>
        <v>2.98794194910039</v>
      </c>
      <c r="AP8">
        <f t="shared" si="15"/>
        <v>3.8220838306893148</v>
      </c>
    </row>
    <row r="9" spans="1:42" x14ac:dyDescent="0.2">
      <c r="A9">
        <v>2</v>
      </c>
      <c r="B9">
        <v>55</v>
      </c>
      <c r="C9">
        <v>1.8</v>
      </c>
      <c r="D9">
        <v>29.9</v>
      </c>
      <c r="E9">
        <v>0.4</v>
      </c>
      <c r="F9">
        <f t="shared" si="0"/>
        <v>55</v>
      </c>
      <c r="G9">
        <f t="shared" si="1"/>
        <v>47</v>
      </c>
      <c r="H9">
        <f t="shared" si="2"/>
        <v>0.49422024418604649</v>
      </c>
      <c r="I9">
        <f t="shared" si="3"/>
        <v>2.7200000000000002E-2</v>
      </c>
      <c r="J9">
        <v>6.78</v>
      </c>
      <c r="L9">
        <v>0.42159802699999999</v>
      </c>
      <c r="M9">
        <v>0.126449279</v>
      </c>
      <c r="N9">
        <v>142.0338223</v>
      </c>
      <c r="P9">
        <v>0.45007000000000003</v>
      </c>
      <c r="Q9">
        <v>0.13994999999999999</v>
      </c>
      <c r="R9">
        <f t="shared" si="4"/>
        <v>136.99878560125703</v>
      </c>
      <c r="T9">
        <v>0.42978405952453608</v>
      </c>
      <c r="U9">
        <v>0.13765373826026919</v>
      </c>
      <c r="V9">
        <f t="shared" si="5"/>
        <v>133.00618857256072</v>
      </c>
      <c r="X9">
        <v>0.43056869506835938</v>
      </c>
      <c r="Y9">
        <v>0.14516684412956241</v>
      </c>
      <c r="Z9">
        <f t="shared" si="6"/>
        <v>126.35271262872628</v>
      </c>
      <c r="AB9">
        <v>0.45896708965301508</v>
      </c>
      <c r="AC9">
        <v>0.1516456604003906</v>
      </c>
      <c r="AD9">
        <f t="shared" si="7"/>
        <v>128.93211697480956</v>
      </c>
      <c r="AF9">
        <f t="shared" si="8"/>
        <v>6.3261210478370122</v>
      </c>
      <c r="AG9">
        <f t="shared" si="9"/>
        <v>9.6468174347981375</v>
      </c>
      <c r="AI9">
        <f t="shared" si="10"/>
        <v>4.5072856390036993</v>
      </c>
      <c r="AJ9">
        <f t="shared" si="11"/>
        <v>1.6407729472888877</v>
      </c>
      <c r="AL9">
        <f t="shared" si="12"/>
        <v>4.3329493038062186</v>
      </c>
      <c r="AM9">
        <f t="shared" si="13"/>
        <v>3.7276485384511719</v>
      </c>
      <c r="AO9">
        <f t="shared" si="14"/>
        <v>1.9768235281211934</v>
      </c>
      <c r="AP9">
        <f t="shared" si="15"/>
        <v>8.3570277959204056</v>
      </c>
    </row>
    <row r="10" spans="1:42" x14ac:dyDescent="0.2">
      <c r="A10">
        <v>2</v>
      </c>
      <c r="B10">
        <v>60</v>
      </c>
      <c r="C10">
        <v>0.8</v>
      </c>
      <c r="D10">
        <v>89.9</v>
      </c>
      <c r="E10">
        <v>0.6</v>
      </c>
      <c r="F10">
        <f t="shared" si="0"/>
        <v>60</v>
      </c>
      <c r="G10">
        <f t="shared" si="1"/>
        <v>55.6</v>
      </c>
      <c r="H10">
        <f t="shared" si="2"/>
        <v>0.61603485309845463</v>
      </c>
      <c r="I10">
        <f t="shared" si="3"/>
        <v>6.9359999999999991E-2</v>
      </c>
      <c r="J10">
        <v>6.78</v>
      </c>
      <c r="L10">
        <v>0.49101350199999999</v>
      </c>
      <c r="M10">
        <v>0.20401693400000001</v>
      </c>
      <c r="N10">
        <v>102.5266529</v>
      </c>
      <c r="P10">
        <v>0.52566000000000002</v>
      </c>
      <c r="Q10">
        <v>0.21078</v>
      </c>
      <c r="R10">
        <f t="shared" si="4"/>
        <v>106.23927183097523</v>
      </c>
      <c r="T10">
        <v>0.5143207311630249</v>
      </c>
      <c r="U10">
        <v>0.2056942284107208</v>
      </c>
      <c r="V10">
        <f t="shared" si="5"/>
        <v>106.51762610269552</v>
      </c>
      <c r="X10">
        <v>0.48204529285430908</v>
      </c>
      <c r="Y10">
        <v>0.19915902614593509</v>
      </c>
      <c r="Z10">
        <f t="shared" si="6"/>
        <v>103.1091976044388</v>
      </c>
      <c r="AB10">
        <v>0.5416337251663208</v>
      </c>
      <c r="AC10">
        <v>0.21820878982543951</v>
      </c>
      <c r="AD10">
        <f t="shared" si="7"/>
        <v>105.7409023609294</v>
      </c>
      <c r="AF10">
        <f t="shared" si="8"/>
        <v>6.5910470646425496</v>
      </c>
      <c r="AG10">
        <f t="shared" si="9"/>
        <v>3.208589999051136</v>
      </c>
      <c r="AI10">
        <f t="shared" si="10"/>
        <v>2.1571488865378976</v>
      </c>
      <c r="AJ10">
        <f t="shared" si="11"/>
        <v>2.4128340398895518</v>
      </c>
      <c r="AL10">
        <f t="shared" si="12"/>
        <v>8.297132584882041</v>
      </c>
      <c r="AM10">
        <f t="shared" si="13"/>
        <v>5.5133190312481775</v>
      </c>
      <c r="AO10">
        <f t="shared" si="14"/>
        <v>3.0387941190733141</v>
      </c>
      <c r="AP10">
        <f t="shared" si="15"/>
        <v>3.5244282310653352</v>
      </c>
    </row>
    <row r="11" spans="1:42" x14ac:dyDescent="0.2">
      <c r="A11">
        <v>3</v>
      </c>
      <c r="B11">
        <v>30</v>
      </c>
      <c r="C11">
        <v>1</v>
      </c>
      <c r="D11">
        <v>9.9</v>
      </c>
      <c r="E11">
        <v>0.6</v>
      </c>
      <c r="F11">
        <f t="shared" si="0"/>
        <v>30</v>
      </c>
      <c r="G11">
        <f t="shared" si="1"/>
        <v>21.6</v>
      </c>
      <c r="H11">
        <f t="shared" si="2"/>
        <v>0.47284660679439711</v>
      </c>
      <c r="I11">
        <f t="shared" si="3"/>
        <v>2.4768000000000005E-2</v>
      </c>
      <c r="J11">
        <v>6.78</v>
      </c>
      <c r="L11">
        <v>0.30093238700000002</v>
      </c>
      <c r="M11">
        <v>0.36028702400000001</v>
      </c>
      <c r="N11">
        <v>35.581960359999997</v>
      </c>
      <c r="P11">
        <v>0.41281000000000001</v>
      </c>
      <c r="Q11">
        <v>0.2019</v>
      </c>
      <c r="R11">
        <f t="shared" si="4"/>
        <v>87.101060954697189</v>
      </c>
      <c r="T11">
        <v>0.37351810932159418</v>
      </c>
      <c r="U11">
        <v>0.18922886252403259</v>
      </c>
      <c r="V11">
        <f t="shared" si="5"/>
        <v>84.087964289889413</v>
      </c>
      <c r="X11">
        <v>0.38369858264923101</v>
      </c>
      <c r="Y11">
        <v>0.19164204597473139</v>
      </c>
      <c r="Z11">
        <f t="shared" si="6"/>
        <v>85.2921282014794</v>
      </c>
      <c r="AB11">
        <v>0.40403127670288091</v>
      </c>
      <c r="AC11">
        <v>0.20277965068817139</v>
      </c>
      <c r="AD11">
        <f t="shared" si="7"/>
        <v>84.878983537152635</v>
      </c>
      <c r="AF11">
        <f t="shared" si="8"/>
        <v>27.101478404108427</v>
      </c>
      <c r="AG11">
        <f t="shared" si="9"/>
        <v>78.44825359088658</v>
      </c>
      <c r="AI11">
        <f t="shared" si="10"/>
        <v>9.5181537943377883</v>
      </c>
      <c r="AJ11">
        <f t="shared" si="11"/>
        <v>6.2759472392111952</v>
      </c>
      <c r="AL11">
        <f t="shared" si="12"/>
        <v>7.052013602085462</v>
      </c>
      <c r="AM11">
        <f t="shared" si="13"/>
        <v>5.0807102651157035</v>
      </c>
      <c r="AO11">
        <f t="shared" si="14"/>
        <v>2.1265771897771604</v>
      </c>
      <c r="AP11">
        <f t="shared" si="15"/>
        <v>0.43568632400762286</v>
      </c>
    </row>
    <row r="12" spans="1:42" x14ac:dyDescent="0.2">
      <c r="A12">
        <v>3</v>
      </c>
      <c r="B12">
        <v>40</v>
      </c>
      <c r="C12">
        <v>1.2</v>
      </c>
      <c r="D12">
        <v>9.9</v>
      </c>
      <c r="E12">
        <v>1.2</v>
      </c>
      <c r="F12">
        <f t="shared" si="0"/>
        <v>40</v>
      </c>
      <c r="G12">
        <f t="shared" si="1"/>
        <v>28</v>
      </c>
      <c r="H12">
        <f t="shared" si="2"/>
        <v>0.60742591345772134</v>
      </c>
      <c r="I12">
        <f t="shared" si="3"/>
        <v>2.7200000000000002E-2</v>
      </c>
      <c r="J12">
        <v>6.78</v>
      </c>
      <c r="L12">
        <v>0.49855030700000003</v>
      </c>
      <c r="M12">
        <v>0.20871194800000001</v>
      </c>
      <c r="N12">
        <v>101.7586268</v>
      </c>
      <c r="P12">
        <v>0.54320000000000002</v>
      </c>
      <c r="Q12">
        <v>0.21759000000000001</v>
      </c>
      <c r="R12">
        <f t="shared" si="4"/>
        <v>106.34825883698332</v>
      </c>
      <c r="T12">
        <v>0.49118733406066889</v>
      </c>
      <c r="U12">
        <v>0.2012996971607208</v>
      </c>
      <c r="V12">
        <f t="shared" si="5"/>
        <v>103.94739084262113</v>
      </c>
      <c r="X12">
        <v>0.48176538944244379</v>
      </c>
      <c r="Y12">
        <v>0.1967687010765076</v>
      </c>
      <c r="Z12">
        <f t="shared" si="6"/>
        <v>104.30115859472703</v>
      </c>
      <c r="AB12">
        <v>0.51900899410247803</v>
      </c>
      <c r="AC12">
        <v>0.21400395035743711</v>
      </c>
      <c r="AD12">
        <f t="shared" si="7"/>
        <v>103.31482599859461</v>
      </c>
      <c r="AF12">
        <f t="shared" si="8"/>
        <v>8.2197520250368168</v>
      </c>
      <c r="AG12">
        <f t="shared" si="9"/>
        <v>4.0801746403786927</v>
      </c>
      <c r="AI12">
        <f t="shared" si="10"/>
        <v>9.5752330521596338</v>
      </c>
      <c r="AJ12">
        <f t="shared" si="11"/>
        <v>7.4866964654989694</v>
      </c>
      <c r="AL12">
        <f t="shared" si="12"/>
        <v>11.309758939167198</v>
      </c>
      <c r="AM12">
        <f t="shared" si="13"/>
        <v>9.5690513918343711</v>
      </c>
      <c r="AO12">
        <f t="shared" si="14"/>
        <v>4.4534252388663456</v>
      </c>
      <c r="AP12">
        <f t="shared" si="15"/>
        <v>1.6480764936637253</v>
      </c>
    </row>
    <row r="13" spans="1:42" x14ac:dyDescent="0.2">
      <c r="A13">
        <v>3</v>
      </c>
      <c r="B13">
        <v>40</v>
      </c>
      <c r="C13">
        <v>1.4</v>
      </c>
      <c r="D13">
        <v>29.9</v>
      </c>
      <c r="E13">
        <v>0.8</v>
      </c>
      <c r="F13">
        <f t="shared" si="0"/>
        <v>40</v>
      </c>
      <c r="G13">
        <f t="shared" si="1"/>
        <v>28.4</v>
      </c>
      <c r="H13">
        <f t="shared" si="2"/>
        <v>0.61884321319103008</v>
      </c>
      <c r="I13">
        <f t="shared" si="3"/>
        <v>2.3451428571428581E-2</v>
      </c>
      <c r="J13">
        <v>6.78</v>
      </c>
      <c r="L13">
        <v>0.398311211</v>
      </c>
      <c r="M13">
        <v>0.37315062300000001</v>
      </c>
      <c r="N13">
        <v>45.472404709999999</v>
      </c>
      <c r="P13">
        <v>0.52893999999999997</v>
      </c>
      <c r="Q13">
        <v>0.20279</v>
      </c>
      <c r="R13">
        <f t="shared" si="4"/>
        <v>111.11416589715785</v>
      </c>
      <c r="T13">
        <v>0.48977816104888922</v>
      </c>
      <c r="U13">
        <v>0.18722787499427801</v>
      </c>
      <c r="V13">
        <f t="shared" si="5"/>
        <v>111.43932244984357</v>
      </c>
      <c r="X13">
        <v>0.49842798709869379</v>
      </c>
      <c r="Y13">
        <v>0.19587200880050659</v>
      </c>
      <c r="Z13">
        <f t="shared" si="6"/>
        <v>108.4025748000511</v>
      </c>
      <c r="AB13">
        <v>0.51757586002349854</v>
      </c>
      <c r="AC13">
        <v>0.2001320421695709</v>
      </c>
      <c r="AD13">
        <f t="shared" si="7"/>
        <v>110.17091091275492</v>
      </c>
      <c r="AF13">
        <f t="shared" si="8"/>
        <v>24.696333988732178</v>
      </c>
      <c r="AG13">
        <f t="shared" si="9"/>
        <v>84.008394398145867</v>
      </c>
      <c r="AI13">
        <f t="shared" si="10"/>
        <v>7.4038338849606298</v>
      </c>
      <c r="AJ13">
        <f t="shared" si="11"/>
        <v>7.6740100624892689</v>
      </c>
      <c r="AL13">
        <f t="shared" si="12"/>
        <v>5.7685206074991822</v>
      </c>
      <c r="AM13">
        <f t="shared" si="13"/>
        <v>3.4114064793596364</v>
      </c>
      <c r="AO13">
        <f t="shared" si="14"/>
        <v>2.1484743026621982</v>
      </c>
      <c r="AP13">
        <f t="shared" si="15"/>
        <v>1.3106947238173001</v>
      </c>
    </row>
    <row r="14" spans="1:42" x14ac:dyDescent="0.2">
      <c r="A14">
        <v>3</v>
      </c>
      <c r="B14">
        <v>45</v>
      </c>
      <c r="C14">
        <v>1.8</v>
      </c>
      <c r="D14">
        <v>9.9</v>
      </c>
      <c r="E14">
        <v>1.2</v>
      </c>
      <c r="F14">
        <f t="shared" si="0"/>
        <v>45</v>
      </c>
      <c r="G14">
        <f t="shared" si="1"/>
        <v>29.4</v>
      </c>
      <c r="H14">
        <f t="shared" si="2"/>
        <v>0.62627951059595866</v>
      </c>
      <c r="I14">
        <f t="shared" si="3"/>
        <v>1.9840000000000003E-2</v>
      </c>
      <c r="J14">
        <v>6.78</v>
      </c>
      <c r="L14">
        <v>0.52214684899999997</v>
      </c>
      <c r="M14">
        <v>0.16807523199999999</v>
      </c>
      <c r="N14">
        <v>132.34224699999999</v>
      </c>
      <c r="P14">
        <v>0.55549999999999999</v>
      </c>
      <c r="Q14">
        <v>0.18973000000000001</v>
      </c>
      <c r="R14">
        <f t="shared" si="4"/>
        <v>124.72617713017445</v>
      </c>
      <c r="T14">
        <v>0.51784181594848633</v>
      </c>
      <c r="U14">
        <v>0.17745104432106021</v>
      </c>
      <c r="V14">
        <f t="shared" si="5"/>
        <v>124.31631041848168</v>
      </c>
      <c r="X14">
        <v>0.51373791694641113</v>
      </c>
      <c r="Y14">
        <v>0.18338131904602051</v>
      </c>
      <c r="Z14">
        <f t="shared" si="6"/>
        <v>119.34276154239784</v>
      </c>
      <c r="AB14">
        <v>0.54496908187866211</v>
      </c>
      <c r="AC14">
        <v>0.19033339619636541</v>
      </c>
      <c r="AD14">
        <f t="shared" si="7"/>
        <v>121.97376280058538</v>
      </c>
      <c r="AF14">
        <f t="shared" si="8"/>
        <v>6.0041675967596806</v>
      </c>
      <c r="AG14">
        <f t="shared" si="9"/>
        <v>11.413465450903926</v>
      </c>
      <c r="AI14">
        <f t="shared" si="10"/>
        <v>6.7791510443768983</v>
      </c>
      <c r="AJ14">
        <f t="shared" si="11"/>
        <v>6.4718050276391716</v>
      </c>
      <c r="AL14">
        <f t="shared" si="12"/>
        <v>7.5179267423202276</v>
      </c>
      <c r="AM14">
        <f t="shared" si="13"/>
        <v>3.3461661065616939</v>
      </c>
      <c r="AO14">
        <f t="shared" si="14"/>
        <v>1.8957548373245516</v>
      </c>
      <c r="AP14">
        <f t="shared" si="15"/>
        <v>0.31802888123407064</v>
      </c>
    </row>
    <row r="15" spans="1:42" x14ac:dyDescent="0.2">
      <c r="A15">
        <v>3</v>
      </c>
      <c r="B15">
        <v>50</v>
      </c>
      <c r="C15">
        <v>1.8</v>
      </c>
      <c r="D15">
        <v>29.9</v>
      </c>
      <c r="E15">
        <v>1.2</v>
      </c>
      <c r="F15">
        <f t="shared" si="0"/>
        <v>50</v>
      </c>
      <c r="G15">
        <f t="shared" si="1"/>
        <v>34.4</v>
      </c>
      <c r="H15">
        <f t="shared" si="2"/>
        <v>0.74248187911928687</v>
      </c>
      <c r="I15">
        <f t="shared" si="3"/>
        <v>2.2506666666666668E-2</v>
      </c>
      <c r="J15">
        <v>6.78</v>
      </c>
      <c r="L15">
        <v>0.60386275700000003</v>
      </c>
      <c r="M15">
        <v>0.181093175</v>
      </c>
      <c r="N15">
        <v>142.0514671</v>
      </c>
      <c r="P15">
        <v>0.64193</v>
      </c>
      <c r="Q15">
        <v>0.20407</v>
      </c>
      <c r="R15">
        <f t="shared" si="4"/>
        <v>134.00409276942264</v>
      </c>
      <c r="T15">
        <v>0.62052249908447266</v>
      </c>
      <c r="U15">
        <v>0.19075724482536319</v>
      </c>
      <c r="V15">
        <f t="shared" si="5"/>
        <v>138.57536991399283</v>
      </c>
      <c r="X15">
        <v>0.59992742538452148</v>
      </c>
      <c r="Y15">
        <v>0.1948093771934509</v>
      </c>
      <c r="Z15">
        <f t="shared" si="6"/>
        <v>131.18929942431464</v>
      </c>
      <c r="AB15">
        <v>0.64522397518157959</v>
      </c>
      <c r="AC15">
        <v>0.2028327286243439</v>
      </c>
      <c r="AD15">
        <f t="shared" si="7"/>
        <v>135.51333025149384</v>
      </c>
      <c r="AF15">
        <f t="shared" si="8"/>
        <v>5.9301236894988509</v>
      </c>
      <c r="AG15">
        <f t="shared" si="9"/>
        <v>11.259286029303674</v>
      </c>
      <c r="AI15">
        <f t="shared" si="10"/>
        <v>3.3348653148360947</v>
      </c>
      <c r="AJ15">
        <f t="shared" si="11"/>
        <v>6.5236218820193148</v>
      </c>
      <c r="AL15">
        <f t="shared" si="12"/>
        <v>6.5431705350238376</v>
      </c>
      <c r="AM15">
        <f t="shared" si="13"/>
        <v>4.5379638391478911</v>
      </c>
      <c r="AO15">
        <f t="shared" si="14"/>
        <v>0.51313619578140757</v>
      </c>
      <c r="AP15">
        <f t="shared" si="15"/>
        <v>0.60629753303087253</v>
      </c>
    </row>
    <row r="16" spans="1:42" x14ac:dyDescent="0.2">
      <c r="A16">
        <v>3</v>
      </c>
      <c r="B16">
        <v>55</v>
      </c>
      <c r="C16">
        <v>1.6</v>
      </c>
      <c r="D16">
        <v>49.9</v>
      </c>
      <c r="E16">
        <v>1</v>
      </c>
      <c r="F16">
        <f t="shared" si="0"/>
        <v>55</v>
      </c>
      <c r="G16">
        <f t="shared" si="1"/>
        <v>41.4</v>
      </c>
      <c r="H16">
        <f t="shared" si="2"/>
        <v>0.9211818501108382</v>
      </c>
      <c r="I16">
        <f t="shared" si="3"/>
        <v>2.8920000000000005E-2</v>
      </c>
      <c r="J16">
        <v>6.78</v>
      </c>
      <c r="L16">
        <v>0.73533036200000002</v>
      </c>
      <c r="M16">
        <v>0.20875734400000001</v>
      </c>
      <c r="N16">
        <v>150.05493989999999</v>
      </c>
      <c r="P16">
        <v>0.77481999999999995</v>
      </c>
      <c r="Q16">
        <v>0.2261</v>
      </c>
      <c r="R16">
        <f t="shared" si="4"/>
        <v>145.98553133207395</v>
      </c>
      <c r="T16">
        <v>0.76420497894287109</v>
      </c>
      <c r="U16">
        <v>0.2232156693935394</v>
      </c>
      <c r="V16">
        <f t="shared" si="5"/>
        <v>145.84607286625433</v>
      </c>
      <c r="X16">
        <v>0.76006722450256348</v>
      </c>
      <c r="Y16">
        <v>0.23711210489273071</v>
      </c>
      <c r="Z16">
        <f t="shared" si="6"/>
        <v>136.55507160516052</v>
      </c>
      <c r="AB16">
        <v>0.7855302095413208</v>
      </c>
      <c r="AC16">
        <v>0.2339606583118439</v>
      </c>
      <c r="AD16">
        <f t="shared" si="7"/>
        <v>143.03081447785019</v>
      </c>
      <c r="AF16">
        <f t="shared" si="8"/>
        <v>5.0966208925944017</v>
      </c>
      <c r="AG16">
        <f t="shared" si="9"/>
        <v>7.6703476337903513</v>
      </c>
      <c r="AI16">
        <f t="shared" si="10"/>
        <v>1.3699983295641387</v>
      </c>
      <c r="AJ16">
        <f t="shared" si="11"/>
        <v>1.2756880170104354</v>
      </c>
      <c r="AL16">
        <f t="shared" si="12"/>
        <v>1.9040261605839393</v>
      </c>
      <c r="AM16">
        <f t="shared" si="13"/>
        <v>4.8704577146088983</v>
      </c>
      <c r="AO16">
        <f t="shared" si="14"/>
        <v>1.382283567966863</v>
      </c>
      <c r="AP16">
        <f t="shared" si="15"/>
        <v>3.4766290631773131</v>
      </c>
    </row>
    <row r="17" spans="1:42" x14ac:dyDescent="0.2">
      <c r="A17">
        <v>3</v>
      </c>
      <c r="B17">
        <v>60</v>
      </c>
      <c r="C17">
        <v>1.4</v>
      </c>
      <c r="D17">
        <v>9.9</v>
      </c>
      <c r="E17">
        <v>1.2</v>
      </c>
      <c r="F17">
        <f t="shared" si="0"/>
        <v>60</v>
      </c>
      <c r="G17">
        <f t="shared" si="1"/>
        <v>46.800000000000004</v>
      </c>
      <c r="H17">
        <f t="shared" si="2"/>
        <v>1.0569841493068974</v>
      </c>
      <c r="I17">
        <f t="shared" si="3"/>
        <v>3.6617142857142869E-2</v>
      </c>
      <c r="J17">
        <v>6.78</v>
      </c>
      <c r="L17">
        <v>0.93185604300000002</v>
      </c>
      <c r="M17">
        <v>0.29370295099999999</v>
      </c>
      <c r="N17">
        <v>135.16058960000001</v>
      </c>
      <c r="P17">
        <v>0.98089000000000004</v>
      </c>
      <c r="Q17">
        <v>0.27775</v>
      </c>
      <c r="R17">
        <f t="shared" si="4"/>
        <v>150.44431949239907</v>
      </c>
      <c r="T17">
        <v>0.95735752582550049</v>
      </c>
      <c r="U17">
        <v>0.28461423516273499</v>
      </c>
      <c r="V17">
        <f t="shared" si="5"/>
        <v>143.29369863768875</v>
      </c>
      <c r="X17">
        <v>0.92759287357330322</v>
      </c>
      <c r="Y17">
        <v>0.29882404208183289</v>
      </c>
      <c r="Z17">
        <f t="shared" si="6"/>
        <v>132.23652323777208</v>
      </c>
      <c r="AB17">
        <v>0.97414505481719971</v>
      </c>
      <c r="AC17">
        <v>0.29330429434776312</v>
      </c>
      <c r="AD17">
        <f t="shared" si="7"/>
        <v>141.48642179211612</v>
      </c>
      <c r="AF17">
        <f t="shared" si="8"/>
        <v>4.9989251598038535</v>
      </c>
      <c r="AG17">
        <f t="shared" si="9"/>
        <v>5.7436367236723651</v>
      </c>
      <c r="AI17">
        <f t="shared" si="10"/>
        <v>2.399094105812023</v>
      </c>
      <c r="AJ17">
        <f t="shared" si="11"/>
        <v>2.4713717957641723</v>
      </c>
      <c r="AL17">
        <f t="shared" si="12"/>
        <v>5.4335477399807131</v>
      </c>
      <c r="AM17">
        <f t="shared" si="13"/>
        <v>7.587413890848925</v>
      </c>
      <c r="AO17">
        <f t="shared" si="14"/>
        <v>0.68763522747712102</v>
      </c>
      <c r="AP17">
        <f t="shared" si="15"/>
        <v>5.6001059757923031</v>
      </c>
    </row>
    <row r="18" spans="1:42" x14ac:dyDescent="0.2">
      <c r="A18">
        <v>3</v>
      </c>
      <c r="B18">
        <v>70</v>
      </c>
      <c r="C18">
        <v>1.8</v>
      </c>
      <c r="D18">
        <v>49.9</v>
      </c>
      <c r="E18">
        <v>0.8</v>
      </c>
      <c r="F18">
        <f t="shared" si="0"/>
        <v>70</v>
      </c>
      <c r="G18">
        <f t="shared" si="1"/>
        <v>56</v>
      </c>
      <c r="H18">
        <f t="shared" si="2"/>
        <v>1.2796131406649616</v>
      </c>
      <c r="I18">
        <f t="shared" si="3"/>
        <v>3.3600000000000005E-2</v>
      </c>
      <c r="J18">
        <v>6.78</v>
      </c>
      <c r="L18">
        <v>1.0631741539999999</v>
      </c>
      <c r="M18">
        <v>0.262538357</v>
      </c>
      <c r="N18">
        <v>172.51275419999999</v>
      </c>
      <c r="P18">
        <v>1.1099000000000001</v>
      </c>
      <c r="Q18">
        <v>0.24301</v>
      </c>
      <c r="R18">
        <f t="shared" si="4"/>
        <v>194.56703501335093</v>
      </c>
      <c r="T18">
        <v>1.084038257598877</v>
      </c>
      <c r="U18">
        <v>0.28206855058670038</v>
      </c>
      <c r="V18">
        <f t="shared" si="5"/>
        <v>163.71915610086936</v>
      </c>
      <c r="X18">
        <v>1.05478823184967</v>
      </c>
      <c r="Y18">
        <v>0.28100436925888062</v>
      </c>
      <c r="Z18">
        <f t="shared" si="6"/>
        <v>159.90489476481977</v>
      </c>
      <c r="AB18">
        <v>1.097770214080811</v>
      </c>
      <c r="AC18">
        <v>0.29002615809440607</v>
      </c>
      <c r="AD18">
        <f t="shared" si="7"/>
        <v>161.24409831993952</v>
      </c>
      <c r="AF18">
        <f t="shared" si="8"/>
        <v>4.2099149472925648</v>
      </c>
      <c r="AG18">
        <f t="shared" si="9"/>
        <v>8.0360302045183314</v>
      </c>
      <c r="AI18">
        <f t="shared" si="10"/>
        <v>2.3300966214184298</v>
      </c>
      <c r="AJ18">
        <f t="shared" si="11"/>
        <v>16.07281617493123</v>
      </c>
      <c r="AL18">
        <f t="shared" si="12"/>
        <v>4.9654714974619454</v>
      </c>
      <c r="AM18">
        <f t="shared" si="13"/>
        <v>15.634899493387355</v>
      </c>
      <c r="AO18">
        <f t="shared" si="14"/>
        <v>1.0928719631668724</v>
      </c>
      <c r="AP18">
        <f t="shared" si="15"/>
        <v>19.34741701757379</v>
      </c>
    </row>
    <row r="19" spans="1:42" x14ac:dyDescent="0.2">
      <c r="A19">
        <v>4</v>
      </c>
      <c r="B19">
        <v>30</v>
      </c>
      <c r="C19">
        <v>0.8</v>
      </c>
      <c r="D19">
        <v>30</v>
      </c>
      <c r="E19">
        <v>0.5</v>
      </c>
      <c r="F19">
        <f t="shared" si="0"/>
        <v>30</v>
      </c>
      <c r="G19">
        <f t="shared" si="1"/>
        <v>20.599999999999998</v>
      </c>
      <c r="H19">
        <f t="shared" si="2"/>
        <v>0.79001250392593914</v>
      </c>
      <c r="I19">
        <f t="shared" si="3"/>
        <v>3.0360000000000002E-2</v>
      </c>
      <c r="J19">
        <v>6.78</v>
      </c>
      <c r="L19">
        <v>0.61613417500000001</v>
      </c>
      <c r="M19">
        <v>0.30490420299999998</v>
      </c>
      <c r="N19">
        <v>86.083803979999999</v>
      </c>
      <c r="P19">
        <v>0.64695999999999998</v>
      </c>
      <c r="Q19">
        <v>0.26497999999999999</v>
      </c>
      <c r="R19">
        <f t="shared" si="4"/>
        <v>104.00971088235249</v>
      </c>
      <c r="T19">
        <v>0.59301352500915527</v>
      </c>
      <c r="U19">
        <v>0.30579870939254761</v>
      </c>
      <c r="V19">
        <f t="shared" si="5"/>
        <v>82.61111905776707</v>
      </c>
      <c r="X19">
        <v>0.62943422794342041</v>
      </c>
      <c r="Y19">
        <v>0.47128748893737787</v>
      </c>
      <c r="Z19">
        <f t="shared" si="6"/>
        <v>56.894986617585147</v>
      </c>
      <c r="AB19">
        <v>0.61960685253143311</v>
      </c>
      <c r="AC19">
        <v>0.31762078404426569</v>
      </c>
      <c r="AD19">
        <f t="shared" si="7"/>
        <v>83.103028996327481</v>
      </c>
      <c r="AF19">
        <f t="shared" si="8"/>
        <v>4.7647188388772062</v>
      </c>
      <c r="AG19">
        <f t="shared" si="9"/>
        <v>15.066874103705938</v>
      </c>
      <c r="AI19">
        <f t="shared" si="10"/>
        <v>8.3384560082299846</v>
      </c>
      <c r="AJ19">
        <f t="shared" si="11"/>
        <v>15.404449163162356</v>
      </c>
      <c r="AL19">
        <f t="shared" si="12"/>
        <v>2.7089421380888417</v>
      </c>
      <c r="AM19">
        <f t="shared" si="13"/>
        <v>77.857758675136949</v>
      </c>
      <c r="AO19">
        <f t="shared" si="14"/>
        <v>4.2279503321019654</v>
      </c>
      <c r="AP19">
        <f t="shared" si="15"/>
        <v>19.86594612584561</v>
      </c>
    </row>
    <row r="20" spans="1:42" x14ac:dyDescent="0.2">
      <c r="A20">
        <v>4</v>
      </c>
      <c r="B20">
        <v>30</v>
      </c>
      <c r="C20">
        <v>1</v>
      </c>
      <c r="D20">
        <v>40</v>
      </c>
      <c r="E20">
        <v>0.7</v>
      </c>
      <c r="F20">
        <f t="shared" si="0"/>
        <v>30</v>
      </c>
      <c r="G20">
        <f t="shared" si="1"/>
        <v>17.8</v>
      </c>
      <c r="H20">
        <f t="shared" si="2"/>
        <v>0.66289376166498148</v>
      </c>
      <c r="I20">
        <f t="shared" si="3"/>
        <v>2.2944000000000003E-2</v>
      </c>
      <c r="J20">
        <v>6.78</v>
      </c>
      <c r="L20">
        <v>0.50216950599999999</v>
      </c>
      <c r="M20">
        <v>0.24313542799999999</v>
      </c>
      <c r="N20">
        <v>87.985610780000002</v>
      </c>
      <c r="P20">
        <v>0.52949000000000002</v>
      </c>
      <c r="Q20">
        <v>0.20624999999999999</v>
      </c>
      <c r="R20">
        <f t="shared" si="4"/>
        <v>109.36374157525063</v>
      </c>
      <c r="T20">
        <v>0.47331809997558588</v>
      </c>
      <c r="U20">
        <v>0.25629210472106928</v>
      </c>
      <c r="V20">
        <f t="shared" si="5"/>
        <v>78.673313112046657</v>
      </c>
      <c r="X20">
        <v>0.51356363296508789</v>
      </c>
      <c r="Y20">
        <v>0.40556862950325012</v>
      </c>
      <c r="Z20">
        <f t="shared" si="6"/>
        <v>53.94354233015698</v>
      </c>
      <c r="AB20">
        <v>0.50231289863586426</v>
      </c>
      <c r="AC20">
        <v>0.26910996437072748</v>
      </c>
      <c r="AD20">
        <f t="shared" si="7"/>
        <v>79.51592335080484</v>
      </c>
      <c r="AF20">
        <f t="shared" si="8"/>
        <v>5.1597752554344796</v>
      </c>
      <c r="AG20">
        <f t="shared" si="9"/>
        <v>17.883843878787879</v>
      </c>
      <c r="AI20">
        <f t="shared" si="10"/>
        <v>10.608680055225619</v>
      </c>
      <c r="AJ20">
        <f t="shared" si="11"/>
        <v>24.262838652639658</v>
      </c>
      <c r="AL20">
        <f t="shared" si="12"/>
        <v>3.0078692770235747</v>
      </c>
      <c r="AM20">
        <f t="shared" si="13"/>
        <v>96.639335516727343</v>
      </c>
      <c r="AO20">
        <f t="shared" si="14"/>
        <v>5.1326939817816681</v>
      </c>
      <c r="AP20">
        <f t="shared" si="15"/>
        <v>30.477558482776967</v>
      </c>
    </row>
    <row r="21" spans="1:42" x14ac:dyDescent="0.2">
      <c r="A21">
        <v>4</v>
      </c>
      <c r="B21">
        <v>35</v>
      </c>
      <c r="C21">
        <v>0.8</v>
      </c>
      <c r="D21">
        <v>50</v>
      </c>
      <c r="E21">
        <v>0.5</v>
      </c>
      <c r="F21">
        <f t="shared" si="0"/>
        <v>35</v>
      </c>
      <c r="G21">
        <f t="shared" si="1"/>
        <v>25.599999999999998</v>
      </c>
      <c r="H21">
        <f t="shared" si="2"/>
        <v>1.0017672909786461</v>
      </c>
      <c r="I21">
        <f t="shared" si="3"/>
        <v>3.6359999999999996E-2</v>
      </c>
      <c r="J21">
        <v>6.78</v>
      </c>
      <c r="L21">
        <v>0.76796678200000001</v>
      </c>
      <c r="M21">
        <v>0.347383043</v>
      </c>
      <c r="N21">
        <v>94.176681419999994</v>
      </c>
      <c r="P21">
        <v>0.80198000000000003</v>
      </c>
      <c r="Q21">
        <v>0.32780999999999999</v>
      </c>
      <c r="R21">
        <f t="shared" si="4"/>
        <v>104.2199582569137</v>
      </c>
      <c r="T21">
        <v>0.74426186084747314</v>
      </c>
      <c r="U21">
        <v>0.28875857591629028</v>
      </c>
      <c r="V21">
        <f t="shared" si="5"/>
        <v>109.7995165629994</v>
      </c>
      <c r="X21">
        <v>0.77157771587371826</v>
      </c>
      <c r="Y21">
        <v>0.42089086771011353</v>
      </c>
      <c r="Z21">
        <f t="shared" si="6"/>
        <v>78.094370455966526</v>
      </c>
      <c r="AB21">
        <v>0.76624619960784912</v>
      </c>
      <c r="AC21">
        <v>0.29888585209846502</v>
      </c>
      <c r="AD21">
        <f t="shared" si="7"/>
        <v>109.21254567769661</v>
      </c>
      <c r="AF21">
        <f t="shared" si="8"/>
        <v>4.24115539040874</v>
      </c>
      <c r="AG21">
        <f t="shared" si="9"/>
        <v>5.9708498825539227</v>
      </c>
      <c r="AI21">
        <f t="shared" si="10"/>
        <v>7.1969549306125939</v>
      </c>
      <c r="AJ21">
        <f t="shared" si="11"/>
        <v>11.912822697205609</v>
      </c>
      <c r="AL21">
        <f t="shared" si="12"/>
        <v>3.7909030307840297</v>
      </c>
      <c r="AM21">
        <f t="shared" si="13"/>
        <v>28.394761511275902</v>
      </c>
      <c r="AO21">
        <f t="shared" si="14"/>
        <v>4.4556971984526923</v>
      </c>
      <c r="AP21">
        <f t="shared" si="15"/>
        <v>8.8234489190491345</v>
      </c>
    </row>
    <row r="22" spans="1:42" x14ac:dyDescent="0.2">
      <c r="A22">
        <v>4</v>
      </c>
      <c r="B22">
        <v>40</v>
      </c>
      <c r="C22">
        <v>0.8</v>
      </c>
      <c r="D22">
        <v>85</v>
      </c>
      <c r="E22">
        <v>0.5</v>
      </c>
      <c r="F22">
        <f t="shared" si="0"/>
        <v>40</v>
      </c>
      <c r="G22">
        <f t="shared" si="1"/>
        <v>30.6</v>
      </c>
      <c r="H22">
        <f t="shared" si="2"/>
        <v>1.2184161406827199</v>
      </c>
      <c r="I22">
        <f t="shared" si="3"/>
        <v>4.2360000000000002E-2</v>
      </c>
      <c r="J22">
        <v>6.78</v>
      </c>
      <c r="L22">
        <v>0.88167009100000004</v>
      </c>
      <c r="M22">
        <v>0.38021389999999999</v>
      </c>
      <c r="N22">
        <v>98.784244090000001</v>
      </c>
      <c r="P22">
        <v>0.91508</v>
      </c>
      <c r="Q22">
        <v>0.29765000000000003</v>
      </c>
      <c r="R22">
        <f t="shared" si="4"/>
        <v>130.96725692891812</v>
      </c>
      <c r="T22">
        <v>0.85266649723052979</v>
      </c>
      <c r="U22">
        <v>0.30265414714813232</v>
      </c>
      <c r="V22">
        <f t="shared" si="5"/>
        <v>120.01682256896</v>
      </c>
      <c r="X22">
        <v>0.89939093589782715</v>
      </c>
      <c r="Y22">
        <v>0.3657647967338562</v>
      </c>
      <c r="Z22">
        <f t="shared" si="6"/>
        <v>104.75051263659994</v>
      </c>
      <c r="AB22">
        <v>0.87192267179489136</v>
      </c>
      <c r="AC22">
        <v>0.3117508590221405</v>
      </c>
      <c r="AD22">
        <f t="shared" si="7"/>
        <v>119.14610964453614</v>
      </c>
      <c r="AF22">
        <f t="shared" si="8"/>
        <v>3.6510369585172833</v>
      </c>
      <c r="AG22">
        <f t="shared" si="9"/>
        <v>27.738585587098928</v>
      </c>
      <c r="AI22">
        <f t="shared" si="10"/>
        <v>6.8205515112853758</v>
      </c>
      <c r="AJ22">
        <f t="shared" si="11"/>
        <v>1.6812185950385681</v>
      </c>
      <c r="AL22">
        <f t="shared" si="12"/>
        <v>1.7145019126385515</v>
      </c>
      <c r="AM22">
        <f t="shared" si="13"/>
        <v>22.884191746634023</v>
      </c>
      <c r="AO22">
        <f t="shared" si="14"/>
        <v>4.7162355428059461</v>
      </c>
      <c r="AP22">
        <f t="shared" si="15"/>
        <v>4.7373959422612053</v>
      </c>
    </row>
    <row r="23" spans="1:42" x14ac:dyDescent="0.2">
      <c r="A23">
        <v>4</v>
      </c>
      <c r="B23">
        <v>40</v>
      </c>
      <c r="C23">
        <v>0.8</v>
      </c>
      <c r="D23">
        <v>20</v>
      </c>
      <c r="E23">
        <v>0.7</v>
      </c>
      <c r="F23">
        <f t="shared" si="0"/>
        <v>40</v>
      </c>
      <c r="G23">
        <f t="shared" si="1"/>
        <v>29.4</v>
      </c>
      <c r="H23">
        <f t="shared" si="2"/>
        <v>1.1524940492424089</v>
      </c>
      <c r="I23">
        <f t="shared" si="3"/>
        <v>4.164000000000001E-2</v>
      </c>
      <c r="J23">
        <v>6.78</v>
      </c>
      <c r="L23">
        <v>0.96243375600000003</v>
      </c>
      <c r="M23">
        <v>0.40098629499999999</v>
      </c>
      <c r="N23">
        <v>102.2470718</v>
      </c>
      <c r="P23">
        <v>1.0001</v>
      </c>
      <c r="Q23">
        <v>0.33732000000000001</v>
      </c>
      <c r="R23">
        <f t="shared" si="4"/>
        <v>126.30219274150836</v>
      </c>
      <c r="T23">
        <v>0.93915039300918579</v>
      </c>
      <c r="U23">
        <v>0.32639533281326288</v>
      </c>
      <c r="V23">
        <f t="shared" si="5"/>
        <v>122.57467751663978</v>
      </c>
      <c r="X23">
        <v>0.97504770755767822</v>
      </c>
      <c r="Y23">
        <v>0.45917254686355591</v>
      </c>
      <c r="Z23">
        <f t="shared" si="6"/>
        <v>90.460608740819751</v>
      </c>
      <c r="AB23">
        <v>0.95645755529403687</v>
      </c>
      <c r="AC23">
        <v>0.33471366763114929</v>
      </c>
      <c r="AD23">
        <f t="shared" si="7"/>
        <v>121.73117395843836</v>
      </c>
      <c r="AF23">
        <f t="shared" si="8"/>
        <v>3.7662477752224741</v>
      </c>
      <c r="AG23">
        <f t="shared" si="9"/>
        <v>18.874153622672829</v>
      </c>
      <c r="AI23">
        <f t="shared" si="10"/>
        <v>6.0943512639550246</v>
      </c>
      <c r="AJ23">
        <f t="shared" si="11"/>
        <v>3.2386657140807316</v>
      </c>
      <c r="AL23">
        <f t="shared" si="12"/>
        <v>2.5049787463575406</v>
      </c>
      <c r="AM23">
        <f t="shared" si="13"/>
        <v>36.123724316244484</v>
      </c>
      <c r="AO23">
        <f t="shared" si="14"/>
        <v>4.3638080897873337</v>
      </c>
      <c r="AP23">
        <f t="shared" si="15"/>
        <v>0.77265871245426199</v>
      </c>
    </row>
    <row r="24" spans="1:42" x14ac:dyDescent="0.2">
      <c r="A24">
        <v>4</v>
      </c>
      <c r="B24">
        <v>40</v>
      </c>
      <c r="C24">
        <v>1</v>
      </c>
      <c r="D24">
        <v>20</v>
      </c>
      <c r="E24">
        <v>0.5</v>
      </c>
      <c r="F24">
        <f t="shared" si="0"/>
        <v>40</v>
      </c>
      <c r="G24">
        <f t="shared" si="1"/>
        <v>29</v>
      </c>
      <c r="H24">
        <f t="shared" si="2"/>
        <v>1.1312862914268405</v>
      </c>
      <c r="I24">
        <f t="shared" si="3"/>
        <v>3.3120000000000004E-2</v>
      </c>
      <c r="J24">
        <v>6.78</v>
      </c>
      <c r="L24">
        <v>0.93857469000000004</v>
      </c>
      <c r="M24">
        <v>0.286905309</v>
      </c>
      <c r="N24">
        <v>139.36053870000001</v>
      </c>
      <c r="P24">
        <v>0.97636000000000001</v>
      </c>
      <c r="Q24">
        <v>0.35255999999999998</v>
      </c>
      <c r="R24">
        <f t="shared" si="4"/>
        <v>117.97405195907693</v>
      </c>
      <c r="T24">
        <v>0.91595757007598877</v>
      </c>
      <c r="U24">
        <v>0.31739947199821472</v>
      </c>
      <c r="V24">
        <f t="shared" si="5"/>
        <v>122.93589608282936</v>
      </c>
      <c r="X24">
        <v>0.94797658920288086</v>
      </c>
      <c r="Y24">
        <v>0.43526840209960938</v>
      </c>
      <c r="Z24">
        <f t="shared" si="6"/>
        <v>92.779072377486202</v>
      </c>
      <c r="AB24">
        <v>0.93378829956054688</v>
      </c>
      <c r="AC24">
        <v>0.3259657621383667</v>
      </c>
      <c r="AD24">
        <f t="shared" si="7"/>
        <v>122.03544704801629</v>
      </c>
      <c r="AF24">
        <f t="shared" si="8"/>
        <v>3.8700182309803726</v>
      </c>
      <c r="AG24">
        <f t="shared" si="9"/>
        <v>18.622274506466983</v>
      </c>
      <c r="AI24">
        <f t="shared" si="10"/>
        <v>6.186491655128358</v>
      </c>
      <c r="AJ24">
        <f t="shared" si="11"/>
        <v>9.9729203544886715</v>
      </c>
      <c r="AL24">
        <f t="shared" si="12"/>
        <v>2.9070640744314749</v>
      </c>
      <c r="AM24">
        <f t="shared" si="13"/>
        <v>23.459383395623266</v>
      </c>
      <c r="AO24">
        <f t="shared" si="14"/>
        <v>4.3602462656656487</v>
      </c>
      <c r="AP24">
        <f t="shared" si="15"/>
        <v>7.5431806959477212</v>
      </c>
    </row>
    <row r="25" spans="1:42" x14ac:dyDescent="0.2">
      <c r="A25">
        <v>4</v>
      </c>
      <c r="B25">
        <v>50</v>
      </c>
      <c r="C25">
        <v>1</v>
      </c>
      <c r="D25">
        <v>60</v>
      </c>
      <c r="E25">
        <v>0.5</v>
      </c>
      <c r="F25">
        <f t="shared" si="0"/>
        <v>50</v>
      </c>
      <c r="G25">
        <f t="shared" si="1"/>
        <v>39</v>
      </c>
      <c r="H25">
        <f t="shared" si="2"/>
        <v>1.5659024434176259</v>
      </c>
      <c r="I25">
        <f t="shared" si="3"/>
        <v>4.2720000000000008E-2</v>
      </c>
      <c r="J25">
        <v>6.78</v>
      </c>
      <c r="L25">
        <v>1.2461269290000001</v>
      </c>
      <c r="M25">
        <v>0.43579581000000001</v>
      </c>
      <c r="N25">
        <v>121.8116409</v>
      </c>
      <c r="P25">
        <v>1.2890999999999999</v>
      </c>
      <c r="Q25">
        <v>0.41972999999999999</v>
      </c>
      <c r="R25">
        <f t="shared" si="4"/>
        <v>130.83566673849759</v>
      </c>
      <c r="T25">
        <v>1.2249991893768311</v>
      </c>
      <c r="U25">
        <v>0.37215840816497803</v>
      </c>
      <c r="V25">
        <f t="shared" si="5"/>
        <v>140.22244023282394</v>
      </c>
      <c r="X25">
        <v>1.2423417568206789</v>
      </c>
      <c r="Y25">
        <v>0.42533254623413091</v>
      </c>
      <c r="Z25">
        <f t="shared" si="6"/>
        <v>124.42911766901474</v>
      </c>
      <c r="AB25">
        <v>1.2353417873382571</v>
      </c>
      <c r="AC25">
        <v>0.37790989875793463</v>
      </c>
      <c r="AD25">
        <f t="shared" si="7"/>
        <v>139.25423744455463</v>
      </c>
      <c r="AF25">
        <f t="shared" si="8"/>
        <v>3.333571561554558</v>
      </c>
      <c r="AG25">
        <f t="shared" si="9"/>
        <v>3.8276534915302731</v>
      </c>
      <c r="AI25">
        <f t="shared" si="10"/>
        <v>4.9725242900604192</v>
      </c>
      <c r="AJ25">
        <f t="shared" si="11"/>
        <v>11.333855534515514</v>
      </c>
      <c r="AL25">
        <f t="shared" si="12"/>
        <v>3.6272006189838635</v>
      </c>
      <c r="AM25">
        <f t="shared" si="13"/>
        <v>1.3347976637674037</v>
      </c>
      <c r="AO25">
        <f t="shared" si="14"/>
        <v>4.1702127578731565</v>
      </c>
      <c r="AP25">
        <f t="shared" si="15"/>
        <v>9.9635721158995931</v>
      </c>
    </row>
    <row r="26" spans="1:42" x14ac:dyDescent="0.2">
      <c r="A26">
        <v>5</v>
      </c>
      <c r="B26">
        <v>40</v>
      </c>
      <c r="C26">
        <v>0.8</v>
      </c>
      <c r="D26">
        <v>9.9</v>
      </c>
      <c r="E26">
        <v>0.4</v>
      </c>
      <c r="F26">
        <f t="shared" si="0"/>
        <v>40</v>
      </c>
      <c r="G26">
        <f t="shared" si="1"/>
        <v>28.799999999999997</v>
      </c>
      <c r="H26">
        <f t="shared" si="2"/>
        <v>1.7512837288681369</v>
      </c>
      <c r="I26">
        <f t="shared" si="3"/>
        <v>4.1280000000000004E-2</v>
      </c>
      <c r="J26">
        <v>6.78</v>
      </c>
      <c r="L26">
        <v>1.505167513</v>
      </c>
      <c r="M26">
        <v>0.96039989800000003</v>
      </c>
      <c r="N26">
        <v>66.763991430000004</v>
      </c>
      <c r="P26">
        <v>1.5939000000000001</v>
      </c>
      <c r="Q26">
        <v>0.63248000000000004</v>
      </c>
      <c r="R26">
        <f t="shared" si="4"/>
        <v>107.35538368975843</v>
      </c>
      <c r="T26">
        <v>1.455916166305542</v>
      </c>
      <c r="U26">
        <v>0.52590095996856689</v>
      </c>
      <c r="V26">
        <f t="shared" si="5"/>
        <v>117.93479586693152</v>
      </c>
      <c r="X26">
        <v>1.546310186386108</v>
      </c>
      <c r="Y26">
        <v>0.83409583568572998</v>
      </c>
      <c r="Z26">
        <f t="shared" si="6"/>
        <v>78.975106222321756</v>
      </c>
      <c r="AB26">
        <v>1.4662696123123169</v>
      </c>
      <c r="AC26">
        <v>0.53257066011428833</v>
      </c>
      <c r="AD26">
        <f t="shared" si="7"/>
        <v>117.2859937526883</v>
      </c>
      <c r="AF26">
        <f t="shared" si="8"/>
        <v>5.5670046427003035</v>
      </c>
      <c r="AG26">
        <f t="shared" si="9"/>
        <v>51.846682582848466</v>
      </c>
      <c r="AI26">
        <f t="shared" si="10"/>
        <v>8.6569943970423537</v>
      </c>
      <c r="AJ26">
        <f t="shared" si="11"/>
        <v>16.850973948809944</v>
      </c>
      <c r="AL26">
        <f t="shared" si="12"/>
        <v>2.9857465094354811</v>
      </c>
      <c r="AM26">
        <f t="shared" si="13"/>
        <v>31.87702942159909</v>
      </c>
      <c r="AO26">
        <f t="shared" si="14"/>
        <v>8.0074275480069765</v>
      </c>
      <c r="AP26">
        <f t="shared" si="15"/>
        <v>15.79644255718943</v>
      </c>
    </row>
    <row r="27" spans="1:42" x14ac:dyDescent="0.2">
      <c r="A27">
        <v>5</v>
      </c>
      <c r="B27">
        <v>40</v>
      </c>
      <c r="C27">
        <v>0.8</v>
      </c>
      <c r="D27">
        <v>9.9</v>
      </c>
      <c r="E27">
        <v>0.6</v>
      </c>
      <c r="F27">
        <f t="shared" si="0"/>
        <v>40</v>
      </c>
      <c r="G27">
        <f t="shared" si="1"/>
        <v>27.2</v>
      </c>
      <c r="H27">
        <f t="shared" si="2"/>
        <v>1.6254994736842103</v>
      </c>
      <c r="I27">
        <f t="shared" si="3"/>
        <v>4.0320000000000002E-2</v>
      </c>
      <c r="J27">
        <v>6.78</v>
      </c>
      <c r="L27">
        <v>1.3952307989999999</v>
      </c>
      <c r="M27">
        <v>0.572882691</v>
      </c>
      <c r="N27">
        <v>103.7504326</v>
      </c>
      <c r="P27">
        <v>1.4652000000000001</v>
      </c>
      <c r="Q27">
        <v>0.64063999999999999</v>
      </c>
      <c r="R27">
        <f t="shared" si="4"/>
        <v>97.429935119835179</v>
      </c>
      <c r="T27">
        <v>1.349621176719666</v>
      </c>
      <c r="U27">
        <v>0.47454282641410828</v>
      </c>
      <c r="V27">
        <f t="shared" si="5"/>
        <v>121.15630679733751</v>
      </c>
      <c r="X27">
        <v>1.3802802562713621</v>
      </c>
      <c r="Y27">
        <v>0.68571579456329346</v>
      </c>
      <c r="Z27">
        <f t="shared" si="6"/>
        <v>85.749713492701531</v>
      </c>
      <c r="AB27">
        <v>1.360673069953918</v>
      </c>
      <c r="AC27">
        <v>0.48109990358352661</v>
      </c>
      <c r="AD27">
        <f t="shared" si="7"/>
        <v>120.48363850733864</v>
      </c>
      <c r="AF27">
        <f t="shared" si="8"/>
        <v>4.7754027436527533</v>
      </c>
      <c r="AG27">
        <f t="shared" si="9"/>
        <v>10.576503028221776</v>
      </c>
      <c r="AI27">
        <f t="shared" si="10"/>
        <v>7.8882625771453787</v>
      </c>
      <c r="AJ27">
        <f t="shared" si="11"/>
        <v>25.926756616179404</v>
      </c>
      <c r="AL27">
        <f t="shared" si="12"/>
        <v>5.7957783052578469</v>
      </c>
      <c r="AM27">
        <f t="shared" si="13"/>
        <v>7.0360568436709334</v>
      </c>
      <c r="AO27">
        <f t="shared" si="14"/>
        <v>7.1339701096152091</v>
      </c>
      <c r="AP27">
        <f t="shared" si="15"/>
        <v>24.903236828245721</v>
      </c>
    </row>
    <row r="28" spans="1:42" x14ac:dyDescent="0.2">
      <c r="A28">
        <v>5</v>
      </c>
      <c r="B28">
        <v>55</v>
      </c>
      <c r="C28">
        <v>1</v>
      </c>
      <c r="D28">
        <v>9.9</v>
      </c>
      <c r="E28">
        <v>0.6</v>
      </c>
      <c r="F28">
        <f t="shared" si="0"/>
        <v>55</v>
      </c>
      <c r="G28">
        <f t="shared" si="1"/>
        <v>40.200000000000003</v>
      </c>
      <c r="H28">
        <f t="shared" si="2"/>
        <v>2.4573246913070408</v>
      </c>
      <c r="I28">
        <f t="shared" si="3"/>
        <v>4.5696000000000014E-2</v>
      </c>
      <c r="J28">
        <v>6.78</v>
      </c>
      <c r="L28">
        <v>2.252865989</v>
      </c>
      <c r="M28">
        <v>0.87889271800000002</v>
      </c>
      <c r="N28">
        <v>109.1965845</v>
      </c>
      <c r="P28">
        <v>2.3498999999999999</v>
      </c>
      <c r="Q28">
        <v>0.80359999999999998</v>
      </c>
      <c r="R28">
        <f t="shared" si="4"/>
        <v>124.57159008466202</v>
      </c>
      <c r="T28">
        <v>2.1215798854827881</v>
      </c>
      <c r="U28">
        <v>0.70574367046356201</v>
      </c>
      <c r="V28">
        <f t="shared" si="5"/>
        <v>128.06249306643988</v>
      </c>
      <c r="X28">
        <v>2.234885692596436</v>
      </c>
      <c r="Y28">
        <v>0.82216966152191162</v>
      </c>
      <c r="Z28">
        <f t="shared" si="6"/>
        <v>115.79863044329494</v>
      </c>
      <c r="AB28">
        <v>2.1347558498382568</v>
      </c>
      <c r="AC28">
        <v>0.71777725219726563</v>
      </c>
      <c r="AD28">
        <f t="shared" si="7"/>
        <v>126.6975090828558</v>
      </c>
      <c r="AF28">
        <f t="shared" si="8"/>
        <v>4.1292825652155356</v>
      </c>
      <c r="AG28">
        <f t="shared" si="9"/>
        <v>9.3694273270283777</v>
      </c>
      <c r="AI28">
        <f t="shared" si="10"/>
        <v>9.7161630076689143</v>
      </c>
      <c r="AJ28">
        <f t="shared" si="11"/>
        <v>12.177243595873316</v>
      </c>
      <c r="AL28">
        <f t="shared" si="12"/>
        <v>4.8944341207525381</v>
      </c>
      <c r="AM28">
        <f t="shared" si="13"/>
        <v>2.3108090495161324</v>
      </c>
      <c r="AO28">
        <f t="shared" si="14"/>
        <v>9.1554598136832652</v>
      </c>
      <c r="AP28">
        <f t="shared" si="15"/>
        <v>10.679784445337773</v>
      </c>
    </row>
    <row r="29" spans="1:42" x14ac:dyDescent="0.2">
      <c r="A29">
        <v>5</v>
      </c>
      <c r="B29">
        <v>60</v>
      </c>
      <c r="C29">
        <v>1.2</v>
      </c>
      <c r="D29">
        <v>69.900000000000006</v>
      </c>
      <c r="E29">
        <v>1</v>
      </c>
      <c r="F29">
        <f t="shared" si="0"/>
        <v>60</v>
      </c>
      <c r="G29">
        <f t="shared" si="1"/>
        <v>40</v>
      </c>
      <c r="H29">
        <f t="shared" si="2"/>
        <v>2.3782179818887448</v>
      </c>
      <c r="I29">
        <f t="shared" si="3"/>
        <v>4.0000000000000008E-2</v>
      </c>
      <c r="J29">
        <v>6.78</v>
      </c>
      <c r="L29">
        <v>1.879683529</v>
      </c>
      <c r="M29">
        <v>0.58028577599999998</v>
      </c>
      <c r="N29">
        <v>137.99151180000001</v>
      </c>
      <c r="P29">
        <v>1.9615</v>
      </c>
      <c r="Q29">
        <v>0.51859999999999995</v>
      </c>
      <c r="R29">
        <f t="shared" si="4"/>
        <v>161.12589949719245</v>
      </c>
      <c r="T29">
        <v>1.778931736946106</v>
      </c>
      <c r="U29">
        <v>0.51291394233703613</v>
      </c>
      <c r="V29">
        <f t="shared" si="5"/>
        <v>147.74892630317294</v>
      </c>
      <c r="X29">
        <v>1.856438040733337</v>
      </c>
      <c r="Y29">
        <v>0.5606423020362854</v>
      </c>
      <c r="Z29">
        <f t="shared" si="6"/>
        <v>141.06008801625333</v>
      </c>
      <c r="AB29">
        <v>1.7868689298629761</v>
      </c>
      <c r="AC29">
        <v>0.519939124584198</v>
      </c>
      <c r="AD29">
        <f t="shared" si="7"/>
        <v>146.40292497872471</v>
      </c>
      <c r="AF29">
        <f t="shared" si="8"/>
        <v>4.1711175630894726</v>
      </c>
      <c r="AG29">
        <f t="shared" si="9"/>
        <v>11.894673351330512</v>
      </c>
      <c r="AI29">
        <f t="shared" si="10"/>
        <v>9.3075841475347474</v>
      </c>
      <c r="AJ29">
        <f t="shared" si="11"/>
        <v>1.0964245397153525</v>
      </c>
      <c r="AL29">
        <f t="shared" si="12"/>
        <v>5.3562049078084657</v>
      </c>
      <c r="AM29">
        <f t="shared" si="13"/>
        <v>8.1068843108919104</v>
      </c>
      <c r="AO29">
        <f t="shared" si="14"/>
        <v>8.9029350057111358</v>
      </c>
      <c r="AP29">
        <f t="shared" si="15"/>
        <v>0.2582191639410043</v>
      </c>
    </row>
    <row r="30" spans="1:42" x14ac:dyDescent="0.2">
      <c r="A30">
        <v>5</v>
      </c>
      <c r="B30">
        <v>65</v>
      </c>
      <c r="C30">
        <v>1</v>
      </c>
      <c r="D30">
        <v>9.9</v>
      </c>
      <c r="E30">
        <v>1</v>
      </c>
      <c r="F30">
        <f t="shared" si="0"/>
        <v>65</v>
      </c>
      <c r="G30">
        <f t="shared" si="1"/>
        <v>47</v>
      </c>
      <c r="H30">
        <f t="shared" si="2"/>
        <v>2.8621595134665503</v>
      </c>
      <c r="I30">
        <f t="shared" si="3"/>
        <v>5.3760000000000009E-2</v>
      </c>
      <c r="J30">
        <v>6.78</v>
      </c>
      <c r="L30">
        <v>2.682374093</v>
      </c>
      <c r="M30">
        <v>0.92146893200000002</v>
      </c>
      <c r="N30">
        <v>124.0075739</v>
      </c>
      <c r="P30">
        <v>2.7972999999999999</v>
      </c>
      <c r="Q30">
        <v>0.84153999999999995</v>
      </c>
      <c r="R30">
        <f t="shared" si="4"/>
        <v>141.60345063636763</v>
      </c>
      <c r="T30">
        <v>2.5824847221374512</v>
      </c>
      <c r="U30">
        <v>0.79586935043334961</v>
      </c>
      <c r="V30">
        <f t="shared" si="5"/>
        <v>138.23102734744018</v>
      </c>
      <c r="X30">
        <v>2.7297852039337158</v>
      </c>
      <c r="Y30">
        <v>0.89298427104949951</v>
      </c>
      <c r="Z30">
        <f t="shared" si="6"/>
        <v>130.22495647400189</v>
      </c>
      <c r="AB30">
        <v>2.6035282611846919</v>
      </c>
      <c r="AC30">
        <v>0.815193772315979</v>
      </c>
      <c r="AD30">
        <f t="shared" si="7"/>
        <v>136.05390078194924</v>
      </c>
      <c r="AF30">
        <f t="shared" si="8"/>
        <v>4.108458406320378</v>
      </c>
      <c r="AG30">
        <f t="shared" si="9"/>
        <v>9.4979361646505289</v>
      </c>
      <c r="AI30">
        <f t="shared" si="10"/>
        <v>7.679379325154569</v>
      </c>
      <c r="AJ30">
        <f t="shared" si="11"/>
        <v>5.4270325316265833</v>
      </c>
      <c r="AL30">
        <f t="shared" si="12"/>
        <v>2.4135700878091044</v>
      </c>
      <c r="AM30">
        <f t="shared" si="13"/>
        <v>6.1131106126267989</v>
      </c>
      <c r="AO30">
        <f t="shared" si="14"/>
        <v>6.9270989459588872</v>
      </c>
      <c r="AP30">
        <f t="shared" si="15"/>
        <v>3.130716030613037</v>
      </c>
    </row>
    <row r="31" spans="1:42" x14ac:dyDescent="0.2">
      <c r="A31">
        <v>5</v>
      </c>
      <c r="B31">
        <v>70</v>
      </c>
      <c r="C31">
        <v>0.4</v>
      </c>
      <c r="D31">
        <v>49.9</v>
      </c>
      <c r="E31">
        <v>0.4</v>
      </c>
      <c r="F31">
        <f t="shared" si="0"/>
        <v>70</v>
      </c>
      <c r="G31">
        <f t="shared" si="1"/>
        <v>62.800000000000004</v>
      </c>
      <c r="H31">
        <f t="shared" si="2"/>
        <v>4.2531703458046923</v>
      </c>
      <c r="I31">
        <f t="shared" si="3"/>
        <v>0.15936000000000006</v>
      </c>
      <c r="J31">
        <v>6.78</v>
      </c>
      <c r="L31">
        <v>4.3102209250000003</v>
      </c>
      <c r="M31">
        <v>2.3026982290000002</v>
      </c>
      <c r="N31">
        <v>79.739235260000001</v>
      </c>
      <c r="P31">
        <v>4.4965000000000002</v>
      </c>
      <c r="Q31">
        <v>2.2783000000000002</v>
      </c>
      <c r="R31">
        <f t="shared" si="4"/>
        <v>84.076232483520172</v>
      </c>
      <c r="T31">
        <v>3.9553132057189941</v>
      </c>
      <c r="U31">
        <v>1.532555937767029</v>
      </c>
      <c r="V31">
        <f t="shared" si="5"/>
        <v>109.94464947703756</v>
      </c>
      <c r="X31">
        <v>4.2812275886535636</v>
      </c>
      <c r="Y31">
        <v>2.2499954700469971</v>
      </c>
      <c r="Z31">
        <f t="shared" si="6"/>
        <v>81.058063941426369</v>
      </c>
      <c r="AB31">
        <v>3.997169971466064</v>
      </c>
      <c r="AC31">
        <v>1.5717077255249019</v>
      </c>
      <c r="AD31">
        <f t="shared" si="7"/>
        <v>108.34038711865459</v>
      </c>
      <c r="AF31">
        <f t="shared" si="8"/>
        <v>4.1427571444456763</v>
      </c>
      <c r="AG31">
        <f t="shared" si="9"/>
        <v>1.0708962384233855</v>
      </c>
      <c r="AI31">
        <f t="shared" si="10"/>
        <v>12.035734332947982</v>
      </c>
      <c r="AJ31">
        <f t="shared" si="11"/>
        <v>32.732478700477159</v>
      </c>
      <c r="AL31">
        <f t="shared" si="12"/>
        <v>4.7875550171563797</v>
      </c>
      <c r="AM31">
        <f t="shared" si="13"/>
        <v>1.2423530682088899</v>
      </c>
      <c r="AO31">
        <f t="shared" si="14"/>
        <v>11.104859969619396</v>
      </c>
      <c r="AP31">
        <f t="shared" si="15"/>
        <v>31.014013715274469</v>
      </c>
    </row>
    <row r="32" spans="1:42" x14ac:dyDescent="0.2">
      <c r="A32">
        <v>5</v>
      </c>
      <c r="B32">
        <v>75</v>
      </c>
      <c r="C32">
        <v>0.8</v>
      </c>
      <c r="D32">
        <v>49.9</v>
      </c>
      <c r="E32">
        <v>1</v>
      </c>
      <c r="F32">
        <f t="shared" si="0"/>
        <v>75</v>
      </c>
      <c r="G32">
        <f t="shared" si="1"/>
        <v>59</v>
      </c>
      <c r="H32">
        <f t="shared" si="2"/>
        <v>3.7156277633948664</v>
      </c>
      <c r="I32">
        <f t="shared" si="3"/>
        <v>8.0400000000000013E-2</v>
      </c>
      <c r="J32">
        <v>6.78</v>
      </c>
      <c r="L32">
        <v>3.3586370140000001</v>
      </c>
      <c r="M32">
        <v>1.1302601029999999</v>
      </c>
      <c r="N32">
        <v>126.58849429999999</v>
      </c>
      <c r="P32">
        <v>3.5009000000000001</v>
      </c>
      <c r="Q32">
        <v>1.0051000000000001</v>
      </c>
      <c r="R32">
        <f t="shared" si="4"/>
        <v>148.38157874051376</v>
      </c>
      <c r="T32">
        <v>3.3243036270141602</v>
      </c>
      <c r="U32">
        <v>1.0086877346038821</v>
      </c>
      <c r="V32">
        <f t="shared" si="5"/>
        <v>140.39560035459488</v>
      </c>
      <c r="X32">
        <v>3.3504526615142818</v>
      </c>
      <c r="Y32">
        <v>1.1225990056991579</v>
      </c>
      <c r="Z32">
        <f t="shared" si="6"/>
        <v>127.14180940971868</v>
      </c>
      <c r="AB32">
        <v>3.3568792343139648</v>
      </c>
      <c r="AC32">
        <v>1.0388057231903081</v>
      </c>
      <c r="AD32">
        <f t="shared" si="7"/>
        <v>137.66100591004687</v>
      </c>
      <c r="AF32">
        <f t="shared" si="8"/>
        <v>4.0636118141049433</v>
      </c>
      <c r="AG32">
        <f t="shared" si="9"/>
        <v>12.452502537060967</v>
      </c>
      <c r="AI32">
        <f t="shared" si="10"/>
        <v>5.0443135475403462</v>
      </c>
      <c r="AJ32">
        <f t="shared" si="11"/>
        <v>0.35695300008774783</v>
      </c>
      <c r="AL32">
        <f t="shared" si="12"/>
        <v>4.2973903420754187</v>
      </c>
      <c r="AM32">
        <f t="shared" si="13"/>
        <v>11.690280141195684</v>
      </c>
      <c r="AO32">
        <f t="shared" si="14"/>
        <v>4.1138211798690412</v>
      </c>
      <c r="AP32">
        <f t="shared" si="15"/>
        <v>3.3534696239486572</v>
      </c>
    </row>
    <row r="33" spans="1:42" x14ac:dyDescent="0.2">
      <c r="A33">
        <v>5</v>
      </c>
      <c r="B33">
        <v>80</v>
      </c>
      <c r="C33">
        <v>1</v>
      </c>
      <c r="D33">
        <v>89.9</v>
      </c>
      <c r="E33">
        <v>0.8</v>
      </c>
      <c r="F33">
        <f t="shared" si="0"/>
        <v>80</v>
      </c>
      <c r="G33">
        <f t="shared" si="1"/>
        <v>63.599999999999994</v>
      </c>
      <c r="H33">
        <f t="shared" si="2"/>
        <v>4.0248868810651262</v>
      </c>
      <c r="I33">
        <f t="shared" si="3"/>
        <v>6.8928000000000003E-2</v>
      </c>
      <c r="J33">
        <v>6.78</v>
      </c>
      <c r="L33">
        <v>1.2524143860000001</v>
      </c>
      <c r="M33">
        <v>1.782394566</v>
      </c>
      <c r="N33">
        <v>29.933242230000001</v>
      </c>
      <c r="P33">
        <v>3.5184000000000002</v>
      </c>
      <c r="Q33">
        <v>1.105</v>
      </c>
      <c r="R33">
        <f t="shared" si="4"/>
        <v>135.64147033128543</v>
      </c>
      <c r="T33">
        <v>3.1530828475952148</v>
      </c>
      <c r="U33">
        <v>0.97443211078643799</v>
      </c>
      <c r="V33">
        <f t="shared" si="5"/>
        <v>137.84574022520371</v>
      </c>
      <c r="X33">
        <v>3.031828880310059</v>
      </c>
      <c r="Y33">
        <v>1.185233354568481</v>
      </c>
      <c r="Z33">
        <f t="shared" si="6"/>
        <v>108.97085931062652</v>
      </c>
      <c r="AB33">
        <v>3.1829390525817871</v>
      </c>
      <c r="AC33">
        <v>1.0020231008529661</v>
      </c>
      <c r="AD33">
        <f t="shared" si="7"/>
        <v>135.31942496921877</v>
      </c>
      <c r="AF33">
        <f t="shared" si="8"/>
        <v>64.403865791268757</v>
      </c>
      <c r="AG33">
        <f t="shared" si="9"/>
        <v>61.302675656108597</v>
      </c>
      <c r="AI33">
        <f t="shared" si="10"/>
        <v>10.38304776048162</v>
      </c>
      <c r="AJ33">
        <f t="shared" si="11"/>
        <v>11.816098571363076</v>
      </c>
      <c r="AL33">
        <f t="shared" si="12"/>
        <v>13.829329231751398</v>
      </c>
      <c r="AM33">
        <f t="shared" si="13"/>
        <v>7.2609370650209071</v>
      </c>
      <c r="AO33">
        <f t="shared" si="14"/>
        <v>9.5344744036554427</v>
      </c>
      <c r="AP33">
        <f t="shared" si="15"/>
        <v>9.3191763933967326</v>
      </c>
    </row>
    <row r="34" spans="1:42" x14ac:dyDescent="0.2">
      <c r="A34">
        <v>6</v>
      </c>
      <c r="B34">
        <v>50</v>
      </c>
      <c r="C34">
        <v>0.4</v>
      </c>
      <c r="D34">
        <v>29.9</v>
      </c>
      <c r="E34">
        <v>0.6</v>
      </c>
      <c r="F34">
        <f t="shared" si="0"/>
        <v>50</v>
      </c>
      <c r="G34">
        <f t="shared" si="1"/>
        <v>39.200000000000003</v>
      </c>
      <c r="H34">
        <f t="shared" si="2"/>
        <v>3.5494509094536761</v>
      </c>
      <c r="I34">
        <f t="shared" si="3"/>
        <v>0.10704000000000001</v>
      </c>
      <c r="J34">
        <v>6.78</v>
      </c>
      <c r="L34">
        <v>3.2376657541121001</v>
      </c>
      <c r="M34">
        <v>1.4939310061522799</v>
      </c>
      <c r="N34">
        <v>92.323239055549806</v>
      </c>
      <c r="P34">
        <v>3.3942999999999999</v>
      </c>
      <c r="Q34">
        <v>1.5874999999999999</v>
      </c>
      <c r="R34">
        <f t="shared" si="4"/>
        <v>91.084828507187908</v>
      </c>
      <c r="T34">
        <v>3.137900829315186</v>
      </c>
      <c r="U34">
        <v>1.143624901771545</v>
      </c>
      <c r="V34">
        <f t="shared" si="5"/>
        <v>116.88671826812764</v>
      </c>
      <c r="X34">
        <v>3.2388663291931148</v>
      </c>
      <c r="Y34">
        <v>1.499395608901978</v>
      </c>
      <c r="Z34">
        <f t="shared" si="6"/>
        <v>92.020872099947198</v>
      </c>
      <c r="AB34">
        <v>3.166429996490479</v>
      </c>
      <c r="AC34">
        <v>1.170170664787292</v>
      </c>
      <c r="AD34">
        <f t="shared" si="7"/>
        <v>115.27370165277742</v>
      </c>
      <c r="AF34">
        <f t="shared" si="8"/>
        <v>4.6146258694841285</v>
      </c>
      <c r="AG34">
        <f t="shared" si="9"/>
        <v>5.8941098486752752</v>
      </c>
      <c r="AI34">
        <f t="shared" si="10"/>
        <v>7.5538158290314321</v>
      </c>
      <c r="AJ34">
        <f t="shared" si="11"/>
        <v>27.960636108879054</v>
      </c>
      <c r="AL34">
        <f t="shared" si="12"/>
        <v>4.5792555403731283</v>
      </c>
      <c r="AM34">
        <f t="shared" si="13"/>
        <v>5.5498829038124056</v>
      </c>
      <c r="AO34">
        <f t="shared" si="14"/>
        <v>6.7133135995498607</v>
      </c>
      <c r="AP34">
        <f t="shared" si="15"/>
        <v>26.28846206064302</v>
      </c>
    </row>
    <row r="35" spans="1:42" x14ac:dyDescent="0.2">
      <c r="A35">
        <v>6</v>
      </c>
      <c r="B35">
        <v>50</v>
      </c>
      <c r="C35">
        <v>0.4</v>
      </c>
      <c r="D35">
        <v>89.9</v>
      </c>
      <c r="E35">
        <v>0.6</v>
      </c>
      <c r="F35">
        <f t="shared" si="0"/>
        <v>50</v>
      </c>
      <c r="G35">
        <f t="shared" si="1"/>
        <v>39.200000000000003</v>
      </c>
      <c r="H35">
        <f t="shared" si="2"/>
        <v>3.5494509094536761</v>
      </c>
      <c r="I35">
        <f t="shared" si="3"/>
        <v>0.10704000000000001</v>
      </c>
      <c r="J35">
        <v>6.78</v>
      </c>
      <c r="L35">
        <v>2.7807674889379199</v>
      </c>
      <c r="M35">
        <v>1.47304764213508</v>
      </c>
      <c r="N35">
        <v>80.418773691611193</v>
      </c>
      <c r="P35">
        <v>2.9022000000000001</v>
      </c>
      <c r="Q35">
        <v>1.3089</v>
      </c>
      <c r="R35">
        <f t="shared" si="4"/>
        <v>94.4561902306083</v>
      </c>
      <c r="T35">
        <v>2.5194187164306641</v>
      </c>
      <c r="U35">
        <v>0.88799715042114258</v>
      </c>
      <c r="V35">
        <f t="shared" si="5"/>
        <v>120.864381518218</v>
      </c>
      <c r="X35">
        <v>2.78761887550354</v>
      </c>
      <c r="Y35">
        <v>1.449684262275696</v>
      </c>
      <c r="Z35">
        <f t="shared" si="6"/>
        <v>81.916148969306022</v>
      </c>
      <c r="AB35">
        <v>2.539272785186768</v>
      </c>
      <c r="AC35">
        <v>0.90633726119995117</v>
      </c>
      <c r="AD35">
        <f t="shared" si="7"/>
        <v>119.35182878296206</v>
      </c>
      <c r="AF35">
        <f t="shared" si="8"/>
        <v>4.1841537820301911</v>
      </c>
      <c r="AG35">
        <f t="shared" si="9"/>
        <v>12.540884875474065</v>
      </c>
      <c r="AI35">
        <f t="shared" si="10"/>
        <v>13.189348892885949</v>
      </c>
      <c r="AJ35">
        <f t="shared" si="11"/>
        <v>32.156990570620927</v>
      </c>
      <c r="AL35">
        <f t="shared" si="12"/>
        <v>3.9480781647184915</v>
      </c>
      <c r="AM35">
        <f t="shared" si="13"/>
        <v>10.755921940231957</v>
      </c>
      <c r="AO35">
        <f t="shared" si="14"/>
        <v>12.505244807843432</v>
      </c>
      <c r="AP35">
        <f t="shared" si="15"/>
        <v>30.755805546645949</v>
      </c>
    </row>
    <row r="36" spans="1:42" ht="15" customHeight="1" x14ac:dyDescent="0.2">
      <c r="A36">
        <v>6</v>
      </c>
      <c r="B36">
        <v>50</v>
      </c>
      <c r="C36">
        <v>0.4</v>
      </c>
      <c r="D36">
        <v>89.9</v>
      </c>
      <c r="E36">
        <v>0.8</v>
      </c>
      <c r="F36">
        <f t="shared" si="0"/>
        <v>50</v>
      </c>
      <c r="G36">
        <f t="shared" si="1"/>
        <v>37.200000000000003</v>
      </c>
      <c r="H36">
        <f t="shared" si="2"/>
        <v>3.2959792718889176</v>
      </c>
      <c r="I36">
        <f t="shared" si="3"/>
        <v>0.10464000000000001</v>
      </c>
      <c r="J36">
        <v>6.78</v>
      </c>
      <c r="L36">
        <v>2.53241125618172</v>
      </c>
      <c r="M36">
        <v>1.48300191773088</v>
      </c>
      <c r="N36">
        <v>72.744821879839904</v>
      </c>
      <c r="P36">
        <v>2.641</v>
      </c>
      <c r="Q36">
        <v>1.1476999999999999</v>
      </c>
      <c r="R36">
        <f t="shared" si="4"/>
        <v>98.027871854575253</v>
      </c>
      <c r="T36">
        <v>2.3340740203857422</v>
      </c>
      <c r="U36">
        <v>0.77784013748168945</v>
      </c>
      <c r="V36">
        <f t="shared" si="5"/>
        <v>127.83030643177078</v>
      </c>
      <c r="X36">
        <v>2.571627140045166</v>
      </c>
      <c r="Y36">
        <v>1.2581450939178469</v>
      </c>
      <c r="Z36">
        <f t="shared" si="6"/>
        <v>87.073665449534516</v>
      </c>
      <c r="AB36">
        <v>2.3515620231628418</v>
      </c>
      <c r="AC36">
        <v>0.7938881516456604</v>
      </c>
      <c r="AD36">
        <f t="shared" si="7"/>
        <v>126.18469209282755</v>
      </c>
      <c r="AF36">
        <f t="shared" si="8"/>
        <v>4.111652548969329</v>
      </c>
      <c r="AG36">
        <f t="shared" si="9"/>
        <v>29.215118735809014</v>
      </c>
      <c r="AI36">
        <f t="shared" si="10"/>
        <v>11.62158196191813</v>
      </c>
      <c r="AJ36">
        <f t="shared" si="11"/>
        <v>32.226179534574413</v>
      </c>
      <c r="AL36">
        <f t="shared" si="12"/>
        <v>2.626764860084589</v>
      </c>
      <c r="AM36">
        <f t="shared" si="13"/>
        <v>9.623167545338239</v>
      </c>
      <c r="AO36">
        <f t="shared" si="14"/>
        <v>10.959408437605385</v>
      </c>
      <c r="AP36">
        <f t="shared" si="15"/>
        <v>30.82790348996598</v>
      </c>
    </row>
    <row r="37" spans="1:42" x14ac:dyDescent="0.2">
      <c r="A37">
        <v>6</v>
      </c>
      <c r="B37">
        <v>60</v>
      </c>
      <c r="C37">
        <v>0.4</v>
      </c>
      <c r="D37">
        <v>9.9</v>
      </c>
      <c r="E37">
        <v>0.4</v>
      </c>
      <c r="F37">
        <f t="shared" si="0"/>
        <v>60</v>
      </c>
      <c r="G37">
        <f t="shared" si="1"/>
        <v>51.2</v>
      </c>
      <c r="H37">
        <f t="shared" si="2"/>
        <v>4.8414944265041715</v>
      </c>
      <c r="I37">
        <f t="shared" si="3"/>
        <v>0.13344</v>
      </c>
      <c r="J37">
        <v>6.78</v>
      </c>
      <c r="L37">
        <v>5.3885781262674399</v>
      </c>
      <c r="M37">
        <v>3.2962784551161501</v>
      </c>
      <c r="N37">
        <v>69.640175067879696</v>
      </c>
      <c r="P37">
        <v>5.6957000000000004</v>
      </c>
      <c r="Q37">
        <v>3.1934</v>
      </c>
      <c r="R37">
        <f t="shared" si="4"/>
        <v>75.980708729842561</v>
      </c>
      <c r="T37">
        <v>5.1830391883850098</v>
      </c>
      <c r="U37">
        <v>2.141948938369751</v>
      </c>
      <c r="V37">
        <f t="shared" si="5"/>
        <v>103.08249788537412</v>
      </c>
      <c r="X37">
        <v>5.4126324653625488</v>
      </c>
      <c r="Y37">
        <v>3.2283375263214111</v>
      </c>
      <c r="Z37">
        <f t="shared" si="6"/>
        <v>71.423176056409957</v>
      </c>
      <c r="AB37">
        <v>5.2442569732666016</v>
      </c>
      <c r="AC37">
        <v>2.1994633674621582</v>
      </c>
      <c r="AD37">
        <f t="shared" si="7"/>
        <v>101.57265066791282</v>
      </c>
      <c r="AF37">
        <f t="shared" si="8"/>
        <v>5.3921708259311494</v>
      </c>
      <c r="AG37">
        <f t="shared" si="9"/>
        <v>3.2215962646755849</v>
      </c>
      <c r="AI37">
        <f t="shared" si="10"/>
        <v>9.0008394335198592</v>
      </c>
      <c r="AJ37">
        <f t="shared" si="11"/>
        <v>32.925755045727094</v>
      </c>
      <c r="AL37">
        <f t="shared" si="12"/>
        <v>4.9698462811849566</v>
      </c>
      <c r="AM37">
        <f t="shared" si="13"/>
        <v>1.0940541842992144</v>
      </c>
      <c r="AO37">
        <f t="shared" si="14"/>
        <v>7.9260323881770249</v>
      </c>
      <c r="AP37">
        <f t="shared" si="15"/>
        <v>31.124714490444099</v>
      </c>
    </row>
    <row r="38" spans="1:42" x14ac:dyDescent="0.2">
      <c r="A38">
        <v>6</v>
      </c>
      <c r="B38">
        <v>65</v>
      </c>
      <c r="C38">
        <v>1.2</v>
      </c>
      <c r="D38">
        <v>49.9</v>
      </c>
      <c r="E38">
        <v>1</v>
      </c>
      <c r="F38">
        <f t="shared" si="0"/>
        <v>65</v>
      </c>
      <c r="G38">
        <f t="shared" si="1"/>
        <v>40.6</v>
      </c>
      <c r="H38">
        <f t="shared" si="2"/>
        <v>3.4283729994564838</v>
      </c>
      <c r="I38">
        <f t="shared" si="3"/>
        <v>4.224E-2</v>
      </c>
      <c r="J38">
        <v>6.78</v>
      </c>
      <c r="L38">
        <v>2.9712475703487198</v>
      </c>
      <c r="M38">
        <v>0.95500345718013102</v>
      </c>
      <c r="N38">
        <v>132.53892935910099</v>
      </c>
      <c r="P38">
        <v>3.0985</v>
      </c>
      <c r="Q38">
        <v>0.88224999999999998</v>
      </c>
      <c r="R38">
        <f t="shared" si="4"/>
        <v>149.61301959775122</v>
      </c>
      <c r="T38">
        <v>2.9570603370666499</v>
      </c>
      <c r="U38">
        <v>0.84034085273742676</v>
      </c>
      <c r="V38">
        <f t="shared" si="5"/>
        <v>149.90435976451337</v>
      </c>
      <c r="X38">
        <v>2.935302734375</v>
      </c>
      <c r="Y38">
        <v>0.92695754766464233</v>
      </c>
      <c r="Z38">
        <f t="shared" si="6"/>
        <v>134.89709863030177</v>
      </c>
      <c r="AB38">
        <v>2.984222412109375</v>
      </c>
      <c r="AC38">
        <v>0.86532515287399292</v>
      </c>
      <c r="AD38">
        <f t="shared" si="7"/>
        <v>146.9134017082124</v>
      </c>
      <c r="AF38">
        <f t="shared" si="8"/>
        <v>4.1069042972819183</v>
      </c>
      <c r="AG38">
        <f t="shared" si="9"/>
        <v>8.2463538883684944</v>
      </c>
      <c r="AI38">
        <f t="shared" si="10"/>
        <v>4.5647785358512207</v>
      </c>
      <c r="AJ38">
        <f t="shared" si="11"/>
        <v>4.7502575531394982</v>
      </c>
      <c r="AL38">
        <f t="shared" si="12"/>
        <v>5.2669764603840576</v>
      </c>
      <c r="AM38">
        <f t="shared" si="13"/>
        <v>5.0674466040966113</v>
      </c>
      <c r="AO38">
        <f t="shared" si="14"/>
        <v>3.6881583956954991</v>
      </c>
      <c r="AP38">
        <f t="shared" si="15"/>
        <v>1.9183731511484341</v>
      </c>
    </row>
    <row r="39" spans="1:42" x14ac:dyDescent="0.2">
      <c r="A39">
        <v>6</v>
      </c>
      <c r="B39">
        <v>70</v>
      </c>
      <c r="C39">
        <v>0.6</v>
      </c>
      <c r="D39">
        <v>9.9</v>
      </c>
      <c r="E39">
        <v>0.6</v>
      </c>
      <c r="F39">
        <f t="shared" si="0"/>
        <v>70</v>
      </c>
      <c r="G39">
        <f t="shared" si="1"/>
        <v>56.8</v>
      </c>
      <c r="H39">
        <f t="shared" si="2"/>
        <v>5.227712817077304</v>
      </c>
      <c r="I39">
        <f t="shared" si="3"/>
        <v>0.10144000000000002</v>
      </c>
      <c r="J39">
        <v>6.78</v>
      </c>
      <c r="L39">
        <v>5.9225877249741297</v>
      </c>
      <c r="M39">
        <v>3.1760330185718901</v>
      </c>
      <c r="N39">
        <v>79.439418351335803</v>
      </c>
      <c r="P39">
        <v>6.2736000000000001</v>
      </c>
      <c r="Q39">
        <v>3.0428999999999999</v>
      </c>
      <c r="R39">
        <f t="shared" si="4"/>
        <v>87.829154013435073</v>
      </c>
      <c r="T39">
        <v>5.6930708885192871</v>
      </c>
      <c r="U39">
        <v>2.255557775497437</v>
      </c>
      <c r="V39">
        <f t="shared" si="5"/>
        <v>107.52320235589428</v>
      </c>
      <c r="X39">
        <v>5.8588285446166992</v>
      </c>
      <c r="Y39">
        <v>3.1004500389099121</v>
      </c>
      <c r="Z39">
        <f t="shared" si="6"/>
        <v>80.499949174369604</v>
      </c>
      <c r="AB39">
        <v>5.7620277404785156</v>
      </c>
      <c r="AC39">
        <v>2.320294857025146</v>
      </c>
      <c r="AD39">
        <f t="shared" si="7"/>
        <v>105.7892948264532</v>
      </c>
      <c r="AF39">
        <f t="shared" si="8"/>
        <v>5.5950694182904614</v>
      </c>
      <c r="AG39">
        <f t="shared" si="9"/>
        <v>4.375201898579979</v>
      </c>
      <c r="AI39">
        <f t="shared" si="10"/>
        <v>9.2535244752727763</v>
      </c>
      <c r="AJ39">
        <f t="shared" si="11"/>
        <v>25.874732147049293</v>
      </c>
      <c r="AL39">
        <f t="shared" si="12"/>
        <v>6.6113787200857699</v>
      </c>
      <c r="AM39">
        <f t="shared" si="13"/>
        <v>1.8912891948441348</v>
      </c>
      <c r="AO39">
        <f t="shared" si="14"/>
        <v>8.1543652690876751</v>
      </c>
      <c r="AP39">
        <f t="shared" si="15"/>
        <v>23.747252389985011</v>
      </c>
    </row>
    <row r="40" spans="1:42" x14ac:dyDescent="0.2">
      <c r="A40">
        <v>6</v>
      </c>
      <c r="B40">
        <v>70</v>
      </c>
      <c r="C40">
        <v>0.4</v>
      </c>
      <c r="D40">
        <v>49.9</v>
      </c>
      <c r="E40">
        <v>0.4</v>
      </c>
      <c r="F40">
        <f t="shared" si="0"/>
        <v>70</v>
      </c>
      <c r="G40">
        <f t="shared" si="1"/>
        <v>61.2</v>
      </c>
      <c r="H40">
        <f t="shared" si="2"/>
        <v>5.8712752322424366</v>
      </c>
      <c r="I40">
        <f t="shared" si="3"/>
        <v>0.15744000000000002</v>
      </c>
      <c r="J40">
        <v>6.78</v>
      </c>
      <c r="L40">
        <v>6.5845068548894696</v>
      </c>
      <c r="M40">
        <v>4.2136468193349801</v>
      </c>
      <c r="N40">
        <v>66.569406556071399</v>
      </c>
      <c r="P40">
        <v>6.7918000000000003</v>
      </c>
      <c r="Q40">
        <v>4.2210999999999999</v>
      </c>
      <c r="R40">
        <f t="shared" si="4"/>
        <v>68.543898627471719</v>
      </c>
      <c r="T40">
        <v>6.0101585388183594</v>
      </c>
      <c r="U40">
        <v>2.5644443035125728</v>
      </c>
      <c r="V40">
        <f t="shared" si="5"/>
        <v>99.839457341631515</v>
      </c>
      <c r="X40">
        <v>6.5131745338439941</v>
      </c>
      <c r="Y40">
        <v>4.4666094779968262</v>
      </c>
      <c r="Z40">
        <f t="shared" si="6"/>
        <v>62.118975973910089</v>
      </c>
      <c r="AB40">
        <v>6.0839672088623047</v>
      </c>
      <c r="AC40">
        <v>2.6339442729949951</v>
      </c>
      <c r="AD40">
        <f t="shared" si="7"/>
        <v>98.398807949750847</v>
      </c>
      <c r="AF40">
        <f t="shared" si="8"/>
        <v>3.0521090890563718</v>
      </c>
      <c r="AG40">
        <f t="shared" si="9"/>
        <v>0.1765696303101032</v>
      </c>
      <c r="AI40">
        <f t="shared" si="10"/>
        <v>11.508605394470402</v>
      </c>
      <c r="AJ40">
        <f t="shared" si="11"/>
        <v>39.247013728351071</v>
      </c>
      <c r="AL40">
        <f t="shared" si="12"/>
        <v>4.1023803138491441</v>
      </c>
      <c r="AM40">
        <f t="shared" si="13"/>
        <v>5.8162440595301304</v>
      </c>
      <c r="AO40">
        <f t="shared" si="14"/>
        <v>10.421873305128178</v>
      </c>
      <c r="AP40">
        <f t="shared" si="15"/>
        <v>37.600524199971687</v>
      </c>
    </row>
    <row r="41" spans="1:42" x14ac:dyDescent="0.2">
      <c r="A41">
        <v>7</v>
      </c>
      <c r="B41">
        <v>40</v>
      </c>
      <c r="C41">
        <v>0.8</v>
      </c>
      <c r="D41">
        <v>30</v>
      </c>
      <c r="E41">
        <v>0.5</v>
      </c>
      <c r="F41">
        <f t="shared" si="0"/>
        <v>40</v>
      </c>
      <c r="G41">
        <f t="shared" si="1"/>
        <v>22.799999999999997</v>
      </c>
      <c r="H41">
        <f t="shared" si="2"/>
        <v>2.5894542114362764</v>
      </c>
      <c r="I41">
        <f t="shared" si="3"/>
        <v>3.7680000000000005E-2</v>
      </c>
      <c r="J41">
        <v>6.78</v>
      </c>
      <c r="L41">
        <v>2.2012860359999999</v>
      </c>
      <c r="M41">
        <v>1.0064413999999999</v>
      </c>
      <c r="N41">
        <v>93.174602289999996</v>
      </c>
      <c r="P41">
        <v>2.2886000000000002</v>
      </c>
      <c r="Q41">
        <v>0.88000999999999996</v>
      </c>
      <c r="R41">
        <f t="shared" si="4"/>
        <v>110.78777520519267</v>
      </c>
      <c r="T41">
        <v>2.1273660659790039</v>
      </c>
      <c r="U41">
        <v>0.77036756277084351</v>
      </c>
      <c r="V41">
        <f t="shared" si="5"/>
        <v>117.63966909960001</v>
      </c>
      <c r="X41">
        <v>2.284206628799438</v>
      </c>
      <c r="Y41">
        <v>1.020569920539856</v>
      </c>
      <c r="Z41">
        <f t="shared" si="6"/>
        <v>95.345934174494772</v>
      </c>
      <c r="AB41">
        <v>2.1406326293945308</v>
      </c>
      <c r="AC41">
        <v>0.78246039152145386</v>
      </c>
      <c r="AD41">
        <f t="shared" si="7"/>
        <v>116.54384260394676</v>
      </c>
      <c r="AF41">
        <f t="shared" si="8"/>
        <v>3.8151692737918483</v>
      </c>
      <c r="AG41">
        <f t="shared" si="9"/>
        <v>14.367041283621774</v>
      </c>
      <c r="AI41">
        <f t="shared" si="10"/>
        <v>7.0450901870574265</v>
      </c>
      <c r="AJ41">
        <f t="shared" si="11"/>
        <v>12.459226284832726</v>
      </c>
      <c r="AL41">
        <f t="shared" si="12"/>
        <v>0.19196763089059499</v>
      </c>
      <c r="AM41">
        <f t="shared" si="13"/>
        <v>15.97253673706617</v>
      </c>
      <c r="AO41">
        <f t="shared" si="14"/>
        <v>6.4654098840107217</v>
      </c>
      <c r="AP41">
        <f t="shared" si="15"/>
        <v>11.08505681509825</v>
      </c>
    </row>
    <row r="42" spans="1:42" x14ac:dyDescent="0.2">
      <c r="A42">
        <v>7</v>
      </c>
      <c r="B42">
        <v>45</v>
      </c>
      <c r="C42">
        <v>1</v>
      </c>
      <c r="D42">
        <v>69.900000000000006</v>
      </c>
      <c r="E42">
        <v>1</v>
      </c>
      <c r="F42">
        <f t="shared" si="0"/>
        <v>45</v>
      </c>
      <c r="G42">
        <f t="shared" si="1"/>
        <v>19</v>
      </c>
      <c r="H42">
        <f t="shared" si="2"/>
        <v>2.1867933453845008</v>
      </c>
      <c r="I42">
        <f t="shared" si="3"/>
        <v>3.0720000000000004E-2</v>
      </c>
      <c r="J42">
        <v>6.78</v>
      </c>
      <c r="L42">
        <v>1.69672084667797</v>
      </c>
      <c r="M42">
        <v>0.63351696028414195</v>
      </c>
      <c r="N42">
        <v>114.093712500572</v>
      </c>
      <c r="P42">
        <v>1.7685999999999999</v>
      </c>
      <c r="Q42">
        <v>0.62580999999999998</v>
      </c>
      <c r="R42">
        <f t="shared" si="4"/>
        <v>120.39173601764369</v>
      </c>
      <c r="T42">
        <v>1.6550115346908569</v>
      </c>
      <c r="U42">
        <v>0.53530150651931763</v>
      </c>
      <c r="V42">
        <f t="shared" si="5"/>
        <v>131.70798761037321</v>
      </c>
      <c r="X42">
        <v>1.682604312896729</v>
      </c>
      <c r="Y42">
        <v>0.67118847370147705</v>
      </c>
      <c r="Z42">
        <f t="shared" si="6"/>
        <v>106.79405149029421</v>
      </c>
      <c r="AB42">
        <v>1.6613515615463259</v>
      </c>
      <c r="AC42">
        <v>0.54060018062591553</v>
      </c>
      <c r="AD42">
        <f t="shared" si="7"/>
        <v>130.91665863488899</v>
      </c>
      <c r="AF42">
        <f t="shared" si="8"/>
        <v>4.064183722833314</v>
      </c>
      <c r="AG42">
        <f t="shared" si="9"/>
        <v>1.231517598654859</v>
      </c>
      <c r="AI42">
        <f t="shared" si="10"/>
        <v>6.4225073679262144</v>
      </c>
      <c r="AJ42">
        <f t="shared" si="11"/>
        <v>14.462615407341261</v>
      </c>
      <c r="AL42">
        <f t="shared" si="12"/>
        <v>4.8623593295980436</v>
      </c>
      <c r="AM42">
        <f t="shared" si="13"/>
        <v>7.2511582910910786</v>
      </c>
      <c r="AO42">
        <f t="shared" si="14"/>
        <v>6.0640302190248807</v>
      </c>
      <c r="AP42">
        <f t="shared" si="15"/>
        <v>13.615924861233353</v>
      </c>
    </row>
    <row r="43" spans="1:42" x14ac:dyDescent="0.2">
      <c r="A43">
        <v>7</v>
      </c>
      <c r="B43">
        <v>50</v>
      </c>
      <c r="C43">
        <v>0.8</v>
      </c>
      <c r="D43">
        <v>89.9</v>
      </c>
      <c r="E43">
        <v>1.2</v>
      </c>
      <c r="F43">
        <f t="shared" si="0"/>
        <v>50</v>
      </c>
      <c r="G43">
        <f t="shared" si="1"/>
        <v>24.4</v>
      </c>
      <c r="H43">
        <f t="shared" si="2"/>
        <v>2.764603649101796</v>
      </c>
      <c r="I43">
        <f t="shared" si="3"/>
        <v>4.4640000000000006E-2</v>
      </c>
      <c r="J43">
        <v>6.78</v>
      </c>
      <c r="L43">
        <v>2.0876896029905501</v>
      </c>
      <c r="M43">
        <v>0.79198719831059505</v>
      </c>
      <c r="N43">
        <v>112.294200872516</v>
      </c>
      <c r="P43">
        <v>2.1833999999999998</v>
      </c>
      <c r="Q43">
        <v>0.77592000000000005</v>
      </c>
      <c r="R43">
        <f t="shared" si="4"/>
        <v>119.87425316438599</v>
      </c>
      <c r="T43">
        <v>2.0063304901123051</v>
      </c>
      <c r="U43">
        <v>0.61609303951263428</v>
      </c>
      <c r="V43">
        <f t="shared" si="5"/>
        <v>138.72851125033984</v>
      </c>
      <c r="X43">
        <v>2.0290639400482182</v>
      </c>
      <c r="Y43">
        <v>0.82050019502639771</v>
      </c>
      <c r="Z43">
        <f t="shared" si="6"/>
        <v>105.34807371864109</v>
      </c>
      <c r="AB43">
        <v>2.018805980682373</v>
      </c>
      <c r="AC43">
        <v>0.62740904092788696</v>
      </c>
      <c r="AD43">
        <f t="shared" si="7"/>
        <v>137.07345670407813</v>
      </c>
      <c r="AF43">
        <f t="shared" si="8"/>
        <v>4.3835484569684775</v>
      </c>
      <c r="AG43">
        <f t="shared" si="9"/>
        <v>2.0707287233986746</v>
      </c>
      <c r="AI43">
        <f t="shared" si="10"/>
        <v>8.1098062603139454</v>
      </c>
      <c r="AJ43">
        <f t="shared" si="11"/>
        <v>20.59838133923159</v>
      </c>
      <c r="AL43">
        <f t="shared" si="12"/>
        <v>7.0686113379033424</v>
      </c>
      <c r="AM43">
        <f t="shared" si="13"/>
        <v>5.7454628088459696</v>
      </c>
      <c r="AO43">
        <f t="shared" si="14"/>
        <v>7.5384271923434447</v>
      </c>
      <c r="AP43">
        <f t="shared" si="15"/>
        <v>19.139983383868582</v>
      </c>
    </row>
    <row r="44" spans="1:42" x14ac:dyDescent="0.2">
      <c r="A44">
        <v>7</v>
      </c>
      <c r="B44">
        <v>55</v>
      </c>
      <c r="C44">
        <v>1.2</v>
      </c>
      <c r="D44">
        <v>9.9</v>
      </c>
      <c r="E44">
        <v>0.8</v>
      </c>
      <c r="F44">
        <f t="shared" si="0"/>
        <v>55</v>
      </c>
      <c r="G44">
        <f t="shared" si="1"/>
        <v>28.6</v>
      </c>
      <c r="H44">
        <f t="shared" si="2"/>
        <v>3.2353350990390042</v>
      </c>
      <c r="I44">
        <f t="shared" si="3"/>
        <v>3.3439999999999998E-2</v>
      </c>
      <c r="J44">
        <v>6.78</v>
      </c>
      <c r="L44">
        <v>3.0381115043517499</v>
      </c>
      <c r="M44">
        <v>1.7040103415072201</v>
      </c>
      <c r="N44">
        <v>75.952320207798294</v>
      </c>
      <c r="P44">
        <v>3.1640000000000001</v>
      </c>
      <c r="Q44">
        <v>1.0865</v>
      </c>
      <c r="R44">
        <f t="shared" si="4"/>
        <v>124.05557869819053</v>
      </c>
      <c r="T44">
        <v>2.7763113975524898</v>
      </c>
      <c r="U44">
        <v>0.94644498825073242</v>
      </c>
      <c r="V44">
        <f t="shared" si="5"/>
        <v>124.96326246497807</v>
      </c>
      <c r="X44">
        <v>3.0317082405090332</v>
      </c>
      <c r="Y44">
        <v>1.65027928352356</v>
      </c>
      <c r="Z44">
        <f t="shared" si="6"/>
        <v>78.259940099466448</v>
      </c>
      <c r="AB44">
        <v>2.7989902496337891</v>
      </c>
      <c r="AC44">
        <v>0.96742987632751465</v>
      </c>
      <c r="AD44">
        <f t="shared" si="7"/>
        <v>123.25128197221312</v>
      </c>
      <c r="AF44">
        <f t="shared" si="8"/>
        <v>3.9787767271886918</v>
      </c>
      <c r="AG44">
        <f t="shared" si="9"/>
        <v>56.834822043922692</v>
      </c>
      <c r="AI44">
        <f t="shared" si="10"/>
        <v>12.253116385825232</v>
      </c>
      <c r="AJ44">
        <f t="shared" si="11"/>
        <v>12.890475080466416</v>
      </c>
      <c r="AL44">
        <f t="shared" si="12"/>
        <v>4.1811554832796123</v>
      </c>
      <c r="AM44">
        <f t="shared" si="13"/>
        <v>51.889487668988501</v>
      </c>
      <c r="AO44">
        <f t="shared" si="14"/>
        <v>11.536338507149528</v>
      </c>
      <c r="AP44">
        <f t="shared" si="15"/>
        <v>10.959054180624516</v>
      </c>
    </row>
    <row r="45" spans="1:42" x14ac:dyDescent="0.2">
      <c r="A45">
        <v>7</v>
      </c>
      <c r="B45">
        <v>55</v>
      </c>
      <c r="C45">
        <v>1.2</v>
      </c>
      <c r="D45">
        <v>9.9</v>
      </c>
      <c r="E45">
        <v>1</v>
      </c>
      <c r="F45">
        <f t="shared" si="0"/>
        <v>55</v>
      </c>
      <c r="G45">
        <f t="shared" si="1"/>
        <v>26.2</v>
      </c>
      <c r="H45">
        <f t="shared" si="2"/>
        <v>2.972947788857744</v>
      </c>
      <c r="I45">
        <f t="shared" si="3"/>
        <v>3.2480000000000009E-2</v>
      </c>
      <c r="J45">
        <v>6.78</v>
      </c>
      <c r="L45">
        <v>2.73509094999753</v>
      </c>
      <c r="M45">
        <v>1.0074069773868899</v>
      </c>
      <c r="N45">
        <v>115.658187000467</v>
      </c>
      <c r="P45">
        <v>2.8702000000000001</v>
      </c>
      <c r="Q45">
        <v>1.0416000000000001</v>
      </c>
      <c r="R45">
        <f t="shared" si="4"/>
        <v>117.38720001137789</v>
      </c>
      <c r="T45">
        <v>2.5184199810028081</v>
      </c>
      <c r="U45">
        <v>0.8334314227104187</v>
      </c>
      <c r="V45">
        <f t="shared" si="5"/>
        <v>128.72646426241118</v>
      </c>
      <c r="X45">
        <v>2.7036724090576172</v>
      </c>
      <c r="Y45">
        <v>1.1111242771148679</v>
      </c>
      <c r="Z45">
        <f t="shared" si="6"/>
        <v>103.65756131273389</v>
      </c>
      <c r="AB45">
        <v>2.5376453399658199</v>
      </c>
      <c r="AC45">
        <v>0.85112857818603516</v>
      </c>
      <c r="AD45">
        <f t="shared" si="7"/>
        <v>127.01216153428683</v>
      </c>
      <c r="AF45">
        <f t="shared" si="8"/>
        <v>4.7073043691195764</v>
      </c>
      <c r="AG45">
        <f t="shared" si="9"/>
        <v>3.2827402662356167</v>
      </c>
      <c r="AI45">
        <f t="shared" si="10"/>
        <v>12.256289422242075</v>
      </c>
      <c r="AJ45">
        <f t="shared" si="11"/>
        <v>19.985462489399133</v>
      </c>
      <c r="AL45">
        <f t="shared" si="12"/>
        <v>5.8019507679737607</v>
      </c>
      <c r="AM45">
        <f t="shared" si="13"/>
        <v>6.6747577875257162</v>
      </c>
      <c r="AO45">
        <f t="shared" si="14"/>
        <v>11.586462965444227</v>
      </c>
      <c r="AP45">
        <f t="shared" si="15"/>
        <v>18.286426825457461</v>
      </c>
    </row>
    <row r="46" spans="1:42" x14ac:dyDescent="0.2">
      <c r="A46">
        <v>7</v>
      </c>
      <c r="B46">
        <v>60</v>
      </c>
      <c r="C46">
        <v>1</v>
      </c>
      <c r="D46">
        <v>40</v>
      </c>
      <c r="E46">
        <v>0.7</v>
      </c>
      <c r="F46">
        <f t="shared" si="0"/>
        <v>60</v>
      </c>
      <c r="G46">
        <f t="shared" si="1"/>
        <v>37.6</v>
      </c>
      <c r="H46">
        <f t="shared" si="2"/>
        <v>4.3241191213061878</v>
      </c>
      <c r="I46">
        <f t="shared" si="3"/>
        <v>4.6848000000000008E-2</v>
      </c>
      <c r="J46">
        <v>6.78</v>
      </c>
      <c r="L46">
        <v>4.0419453660000002</v>
      </c>
      <c r="M46">
        <v>1.6846081799999999</v>
      </c>
      <c r="N46">
        <v>102.211814</v>
      </c>
      <c r="P46">
        <v>4.2053000000000003</v>
      </c>
      <c r="Q46">
        <v>1.5207999999999999</v>
      </c>
      <c r="R46">
        <f t="shared" si="4"/>
        <v>117.797055321</v>
      </c>
      <c r="T46">
        <v>3.842908382415771</v>
      </c>
      <c r="U46">
        <v>1.3511993885040281</v>
      </c>
      <c r="V46">
        <f t="shared" si="5"/>
        <v>121.15745595368126</v>
      </c>
      <c r="X46">
        <v>4.0133037567138672</v>
      </c>
      <c r="Y46">
        <v>1.6114711761474609</v>
      </c>
      <c r="Z46">
        <f t="shared" si="6"/>
        <v>106.09356539094222</v>
      </c>
      <c r="AB46">
        <v>3.8822536468505859</v>
      </c>
      <c r="AC46">
        <v>1.3878781795501709</v>
      </c>
      <c r="AD46">
        <f t="shared" si="7"/>
        <v>119.16318804358478</v>
      </c>
      <c r="AF46">
        <f t="shared" si="8"/>
        <v>3.8844941859082596</v>
      </c>
      <c r="AG46">
        <f t="shared" si="9"/>
        <v>10.771184902682798</v>
      </c>
      <c r="AI46">
        <f t="shared" si="10"/>
        <v>8.6174973862561348</v>
      </c>
      <c r="AJ46">
        <f t="shared" si="11"/>
        <v>11.152065458704092</v>
      </c>
      <c r="AL46">
        <f t="shared" si="12"/>
        <v>4.5655778014917621</v>
      </c>
      <c r="AM46">
        <f t="shared" si="13"/>
        <v>5.9620710249514079</v>
      </c>
      <c r="AO46">
        <f t="shared" si="14"/>
        <v>7.681886028331256</v>
      </c>
      <c r="AP46">
        <f t="shared" si="15"/>
        <v>8.7402564735553021</v>
      </c>
    </row>
    <row r="47" spans="1:42" x14ac:dyDescent="0.2">
      <c r="A47">
        <v>7</v>
      </c>
      <c r="B47">
        <v>70</v>
      </c>
      <c r="C47">
        <v>0.8</v>
      </c>
      <c r="D47">
        <v>69.900000000000006</v>
      </c>
      <c r="E47">
        <v>0.6</v>
      </c>
      <c r="F47">
        <f t="shared" si="0"/>
        <v>70</v>
      </c>
      <c r="G47">
        <f t="shared" si="1"/>
        <v>51.6</v>
      </c>
      <c r="H47">
        <f t="shared" si="2"/>
        <v>6.201265482527119</v>
      </c>
      <c r="I47">
        <f t="shared" si="3"/>
        <v>7.2960000000000011E-2</v>
      </c>
      <c r="J47">
        <v>6.78</v>
      </c>
      <c r="L47">
        <v>6.1258041495045497</v>
      </c>
      <c r="M47">
        <v>3.1521430739765401</v>
      </c>
      <c r="N47">
        <v>82.787877480661393</v>
      </c>
      <c r="P47">
        <v>6.5359999999999996</v>
      </c>
      <c r="Q47">
        <v>3.1206999999999998</v>
      </c>
      <c r="R47">
        <f t="shared" si="4"/>
        <v>89.221511714556357</v>
      </c>
      <c r="T47">
        <v>5.9956526756286621</v>
      </c>
      <c r="U47">
        <v>2.450353860855103</v>
      </c>
      <c r="V47">
        <f t="shared" si="5"/>
        <v>104.23587466976439</v>
      </c>
      <c r="X47">
        <v>6.1517362594604492</v>
      </c>
      <c r="Y47">
        <v>3.1605591773986821</v>
      </c>
      <c r="Z47">
        <f t="shared" si="6"/>
        <v>82.916953368222082</v>
      </c>
      <c r="AB47">
        <v>6.0688610076904297</v>
      </c>
      <c r="AC47">
        <v>2.5192115306854248</v>
      </c>
      <c r="AD47">
        <f t="shared" si="7"/>
        <v>102.62474961526495</v>
      </c>
      <c r="AF47">
        <f t="shared" si="8"/>
        <v>6.2759463050099438</v>
      </c>
      <c r="AG47">
        <f t="shared" si="9"/>
        <v>1.0075647763815918</v>
      </c>
      <c r="AI47">
        <f t="shared" si="10"/>
        <v>8.267247924898065</v>
      </c>
      <c r="AJ47">
        <f t="shared" si="11"/>
        <v>21.480633804752038</v>
      </c>
      <c r="AL47">
        <f t="shared" si="12"/>
        <v>5.8791881967495474</v>
      </c>
      <c r="AM47">
        <f t="shared" si="13"/>
        <v>1.2772511743737713</v>
      </c>
      <c r="AO47">
        <f t="shared" si="14"/>
        <v>7.1471694049811791</v>
      </c>
      <c r="AP47">
        <f t="shared" si="15"/>
        <v>19.274152251564555</v>
      </c>
    </row>
    <row r="48" spans="1:42" x14ac:dyDescent="0.2">
      <c r="A48">
        <v>7</v>
      </c>
      <c r="B48">
        <v>80</v>
      </c>
      <c r="C48">
        <v>1</v>
      </c>
      <c r="D48">
        <v>49.9</v>
      </c>
      <c r="E48">
        <v>1</v>
      </c>
      <c r="F48">
        <f t="shared" si="0"/>
        <v>80</v>
      </c>
      <c r="G48">
        <f t="shared" si="1"/>
        <v>54</v>
      </c>
      <c r="H48">
        <f t="shared" si="2"/>
        <v>6.3127025678602786</v>
      </c>
      <c r="I48">
        <f t="shared" si="3"/>
        <v>6.4320000000000016E-2</v>
      </c>
      <c r="J48">
        <v>6.78</v>
      </c>
      <c r="L48">
        <v>6.5432734498036504</v>
      </c>
      <c r="M48">
        <v>2.8876869927254898</v>
      </c>
      <c r="N48">
        <v>96.528268470475297</v>
      </c>
      <c r="P48">
        <v>6.9462000000000002</v>
      </c>
      <c r="Q48">
        <v>2.9068999999999998</v>
      </c>
      <c r="R48">
        <f t="shared" si="4"/>
        <v>101.79507028989894</v>
      </c>
      <c r="T48">
        <v>6.2062931060791016</v>
      </c>
      <c r="U48">
        <v>2.2344808578491211</v>
      </c>
      <c r="V48">
        <f t="shared" si="5"/>
        <v>118.32191733937189</v>
      </c>
      <c r="X48">
        <v>6.5255260467529297</v>
      </c>
      <c r="Y48">
        <v>2.839781761169434</v>
      </c>
      <c r="Z48">
        <f t="shared" si="6"/>
        <v>97.890403074605743</v>
      </c>
      <c r="AB48">
        <v>6.2838478088378906</v>
      </c>
      <c r="AC48">
        <v>2.3071284294128418</v>
      </c>
      <c r="AD48">
        <f t="shared" si="7"/>
        <v>116.02816988718142</v>
      </c>
      <c r="AF48">
        <f t="shared" si="8"/>
        <v>5.8006759119568931</v>
      </c>
      <c r="AG48">
        <f t="shared" si="9"/>
        <v>0.66094489918848365</v>
      </c>
      <c r="AI48">
        <f t="shared" si="10"/>
        <v>10.651966455341029</v>
      </c>
      <c r="AJ48">
        <f t="shared" si="11"/>
        <v>23.131829170280323</v>
      </c>
      <c r="AL48">
        <f t="shared" si="12"/>
        <v>6.0561739259893246</v>
      </c>
      <c r="AM48">
        <f t="shared" si="13"/>
        <v>2.3089283714804698</v>
      </c>
      <c r="AO48">
        <f t="shared" si="14"/>
        <v>9.5354609881965597</v>
      </c>
      <c r="AP48">
        <f t="shared" si="15"/>
        <v>20.63268673112794</v>
      </c>
    </row>
    <row r="49" spans="1:42" x14ac:dyDescent="0.2">
      <c r="A49">
        <v>7</v>
      </c>
      <c r="B49">
        <v>100</v>
      </c>
      <c r="C49">
        <v>0.8</v>
      </c>
      <c r="D49">
        <v>80</v>
      </c>
      <c r="E49">
        <v>0.5</v>
      </c>
      <c r="F49">
        <f t="shared" si="0"/>
        <v>100</v>
      </c>
      <c r="G49">
        <f t="shared" si="1"/>
        <v>82.800000000000011</v>
      </c>
      <c r="H49">
        <f t="shared" si="2"/>
        <v>10.481000473329969</v>
      </c>
      <c r="I49">
        <f t="shared" si="3"/>
        <v>0.10968000000000003</v>
      </c>
      <c r="J49">
        <v>6.78</v>
      </c>
      <c r="L49">
        <v>19.72645</v>
      </c>
      <c r="M49">
        <v>48.413511</v>
      </c>
      <c r="N49">
        <v>17.357689000000001</v>
      </c>
      <c r="P49">
        <v>25.117999999999999</v>
      </c>
      <c r="Q49">
        <v>49.35</v>
      </c>
      <c r="R49">
        <f t="shared" si="4"/>
        <v>21.682405083838052</v>
      </c>
      <c r="T49">
        <v>11.740432739257811</v>
      </c>
      <c r="U49">
        <v>6.5917515754699707</v>
      </c>
      <c r="V49">
        <f t="shared" si="5"/>
        <v>75.873973399290961</v>
      </c>
      <c r="X49">
        <v>14.01251125335693</v>
      </c>
      <c r="Y49">
        <v>11.848756790161129</v>
      </c>
      <c r="Z49">
        <f t="shared" si="6"/>
        <v>50.379371363106422</v>
      </c>
      <c r="AB49">
        <v>11.910408020019529</v>
      </c>
      <c r="AC49">
        <v>6.7531614303588867</v>
      </c>
      <c r="AD49">
        <f t="shared" si="7"/>
        <v>75.132711567218593</v>
      </c>
      <c r="AF49">
        <f t="shared" si="8"/>
        <v>21.464885739310454</v>
      </c>
      <c r="AG49">
        <f t="shared" si="9"/>
        <v>1.8976474164133772</v>
      </c>
      <c r="AI49">
        <f t="shared" si="10"/>
        <v>53.258887095876219</v>
      </c>
      <c r="AJ49">
        <f t="shared" si="11"/>
        <v>86.642853950415457</v>
      </c>
      <c r="AL49">
        <f t="shared" si="12"/>
        <v>44.213268359913485</v>
      </c>
      <c r="AM49">
        <f t="shared" si="13"/>
        <v>75.990361114161857</v>
      </c>
      <c r="AO49">
        <f t="shared" si="14"/>
        <v>52.582180030179437</v>
      </c>
      <c r="AP49">
        <f t="shared" si="15"/>
        <v>86.315782309303174</v>
      </c>
    </row>
    <row r="50" spans="1:42" x14ac:dyDescent="0.2">
      <c r="T50"/>
      <c r="U50"/>
      <c r="AF50" s="2">
        <f>AVERAGE(AF3:AF49)</f>
        <v>8.4064847937735827</v>
      </c>
      <c r="AG50" s="2">
        <f>AVERAGE(AG3:AG49)</f>
        <v>15.722195570633666</v>
      </c>
      <c r="AI50" s="2">
        <f>AVERAGE(AI3:AI49)</f>
        <v>9.3913969030150817</v>
      </c>
      <c r="AJ50" s="2">
        <f>AVERAGE(AJ3:AJ49)</f>
        <v>15.782944957207679</v>
      </c>
      <c r="AL50" s="2">
        <f>AVERAGE(AL3:AL49)</f>
        <v>7.3697050497056269</v>
      </c>
      <c r="AM50" s="2">
        <f>AVERAGE(AM3:AM49)</f>
        <v>15.401631173038835</v>
      </c>
      <c r="AO50" s="2">
        <f>AVERAGE(AO3:AO49)</f>
        <v>6.7683237077500591</v>
      </c>
      <c r="AP50" s="2">
        <f>AVERAGE(AP3:AP49)</f>
        <v>13.889515242921334</v>
      </c>
    </row>
  </sheetData>
  <phoneticPr fontId="1" type="noConversion"/>
  <conditionalFormatting sqref="Q34:Q37 A34:E40 J34:N40 Q39:Q40">
    <cfRule type="expression" dxfId="2" priority="22">
      <formula>#REF!*0.9&gt;$M34</formula>
    </cfRule>
    <cfRule type="expression" dxfId="1" priority="23">
      <formula>#REF!*1.05&lt;$L34</formula>
    </cfRule>
  </conditionalFormatting>
  <conditionalFormatting sqref="T3:U49">
    <cfRule type="expression" dxfId="0" priority="1">
      <formula>OR($T3&gt;=50, $U3&gt;=50)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仿真数据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2026-03-20T02:28:55Z</dcterms:created>
  <dcterms:modified xsi:type="dcterms:W3CDTF">2026-04-09T05:02:11Z</dcterms:modified>
</cp:coreProperties>
</file>