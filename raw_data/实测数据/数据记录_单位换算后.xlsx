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raw_data\实测数据\"/>
    </mc:Choice>
  </mc:AlternateContent>
  <xr:revisionPtr revIDLastSave="0" documentId="13_ncr:1_{C260B4E7-4BDB-46A8-B8D1-2E08D3F9A54C}" xr6:coauthVersionLast="47" xr6:coauthVersionMax="47" xr10:uidLastSave="{00000000-0000-0000-0000-000000000000}"/>
  <bookViews>
    <workbookView xWindow="-120" yWindow="-120" windowWidth="29040" windowHeight="15720" xr2:uid="{3B48B130-AF04-4D73-8C0F-E5A0AD9E9E6F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G4" i="1" s="1"/>
  <c r="I4" i="1" s="1"/>
  <c r="F5" i="1"/>
  <c r="G5" i="1"/>
  <c r="H5" i="1" s="1"/>
  <c r="I5" i="1"/>
  <c r="F6" i="1"/>
  <c r="G6" i="1" s="1"/>
  <c r="I6" i="1" s="1"/>
  <c r="F7" i="1"/>
  <c r="G7" i="1"/>
  <c r="I7" i="1" s="1"/>
  <c r="H7" i="1"/>
  <c r="F8" i="1"/>
  <c r="G8" i="1" s="1"/>
  <c r="F9" i="1"/>
  <c r="G9" i="1"/>
  <c r="H9" i="1" s="1"/>
  <c r="I9" i="1"/>
  <c r="F10" i="1"/>
  <c r="G10" i="1" s="1"/>
  <c r="F11" i="1"/>
  <c r="G11" i="1"/>
  <c r="I11" i="1" s="1"/>
  <c r="H11" i="1"/>
  <c r="F12" i="1"/>
  <c r="G12" i="1" s="1"/>
  <c r="F13" i="1"/>
  <c r="G13" i="1"/>
  <c r="H13" i="1" s="1"/>
  <c r="I13" i="1"/>
  <c r="F14" i="1"/>
  <c r="G14" i="1" s="1"/>
  <c r="F15" i="1"/>
  <c r="G15" i="1"/>
  <c r="I15" i="1" s="1"/>
  <c r="H15" i="1"/>
  <c r="F16" i="1"/>
  <c r="G16" i="1" s="1"/>
  <c r="F17" i="1"/>
  <c r="G17" i="1"/>
  <c r="H17" i="1" s="1"/>
  <c r="I17" i="1"/>
  <c r="F18" i="1"/>
  <c r="G18" i="1" s="1"/>
  <c r="F19" i="1"/>
  <c r="G19" i="1"/>
  <c r="I19" i="1" s="1"/>
  <c r="H19" i="1"/>
  <c r="F20" i="1"/>
  <c r="G20" i="1" s="1"/>
  <c r="F21" i="1"/>
  <c r="G21" i="1"/>
  <c r="H21" i="1" s="1"/>
  <c r="I21" i="1"/>
  <c r="F22" i="1"/>
  <c r="G22" i="1" s="1"/>
  <c r="F23" i="1"/>
  <c r="G23" i="1"/>
  <c r="I23" i="1" s="1"/>
  <c r="H23" i="1"/>
  <c r="F24" i="1"/>
  <c r="G24" i="1"/>
  <c r="H24" i="1" s="1"/>
  <c r="I24" i="1"/>
  <c r="F25" i="1"/>
  <c r="G25" i="1"/>
  <c r="H25" i="1" s="1"/>
  <c r="I25" i="1"/>
  <c r="F26" i="1"/>
  <c r="G26" i="1" s="1"/>
  <c r="F27" i="1"/>
  <c r="G27" i="1"/>
  <c r="I27" i="1" s="1"/>
  <c r="H27" i="1"/>
  <c r="F28" i="1"/>
  <c r="G28" i="1"/>
  <c r="H28" i="1" s="1"/>
  <c r="I28" i="1"/>
  <c r="F29" i="1"/>
  <c r="G29" i="1"/>
  <c r="H29" i="1" s="1"/>
  <c r="I29" i="1"/>
  <c r="F30" i="1"/>
  <c r="G30" i="1" s="1"/>
  <c r="F31" i="1"/>
  <c r="G31" i="1"/>
  <c r="I31" i="1" s="1"/>
  <c r="H31" i="1"/>
  <c r="F32" i="1"/>
  <c r="G32" i="1"/>
  <c r="H32" i="1" s="1"/>
  <c r="I32" i="1"/>
  <c r="F33" i="1"/>
  <c r="G33" i="1"/>
  <c r="H33" i="1" s="1"/>
  <c r="I33" i="1"/>
  <c r="F34" i="1"/>
  <c r="G34" i="1" s="1"/>
  <c r="F35" i="1"/>
  <c r="G35" i="1"/>
  <c r="I35" i="1" s="1"/>
  <c r="H35" i="1"/>
  <c r="F36" i="1"/>
  <c r="G36" i="1"/>
  <c r="H36" i="1" s="1"/>
  <c r="I36" i="1"/>
  <c r="F37" i="1"/>
  <c r="G37" i="1"/>
  <c r="H37" i="1" s="1"/>
  <c r="I37" i="1"/>
  <c r="F38" i="1"/>
  <c r="G38" i="1" s="1"/>
  <c r="F39" i="1"/>
  <c r="G39" i="1"/>
  <c r="I39" i="1" s="1"/>
  <c r="H39" i="1"/>
  <c r="F40" i="1"/>
  <c r="G40" i="1"/>
  <c r="H40" i="1" s="1"/>
  <c r="I40" i="1"/>
  <c r="F41" i="1"/>
  <c r="G41" i="1"/>
  <c r="H41" i="1" s="1"/>
  <c r="I41" i="1"/>
  <c r="F42" i="1"/>
  <c r="G42" i="1" s="1"/>
  <c r="F43" i="1"/>
  <c r="G43" i="1"/>
  <c r="I43" i="1" s="1"/>
  <c r="H43" i="1"/>
  <c r="F44" i="1"/>
  <c r="G44" i="1"/>
  <c r="H44" i="1" s="1"/>
  <c r="I44" i="1"/>
  <c r="F45" i="1"/>
  <c r="G45" i="1"/>
  <c r="H45" i="1" s="1"/>
  <c r="I45" i="1"/>
  <c r="F46" i="1"/>
  <c r="G46" i="1" s="1"/>
  <c r="F47" i="1"/>
  <c r="G47" i="1"/>
  <c r="I47" i="1" s="1"/>
  <c r="H47" i="1"/>
  <c r="F48" i="1"/>
  <c r="G48" i="1"/>
  <c r="H48" i="1" s="1"/>
  <c r="I48" i="1"/>
  <c r="F49" i="1"/>
  <c r="G49" i="1"/>
  <c r="H49" i="1" s="1"/>
  <c r="I49" i="1"/>
  <c r="H3" i="1"/>
  <c r="I3" i="1"/>
  <c r="G3" i="1"/>
  <c r="F3" i="1"/>
  <c r="H26" i="1" l="1"/>
  <c r="I26" i="1"/>
  <c r="H38" i="1"/>
  <c r="I38" i="1"/>
  <c r="H18" i="1"/>
  <c r="I18" i="1"/>
  <c r="H10" i="1"/>
  <c r="I10" i="1"/>
  <c r="H30" i="1"/>
  <c r="I30" i="1"/>
  <c r="H16" i="1"/>
  <c r="I16" i="1"/>
  <c r="H8" i="1"/>
  <c r="I8" i="1"/>
  <c r="H42" i="1"/>
  <c r="I42" i="1"/>
  <c r="H22" i="1"/>
  <c r="I22" i="1"/>
  <c r="H14" i="1"/>
  <c r="I14" i="1"/>
  <c r="H34" i="1"/>
  <c r="I34" i="1"/>
  <c r="H46" i="1"/>
  <c r="I46" i="1"/>
  <c r="H20" i="1"/>
  <c r="I20" i="1"/>
  <c r="H12" i="1"/>
  <c r="I12" i="1"/>
  <c r="H6" i="1"/>
  <c r="H4" i="1"/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3" i="1"/>
</calcChain>
</file>

<file path=xl/sharedStrings.xml><?xml version="1.0" encoding="utf-8"?>
<sst xmlns="http://schemas.openxmlformats.org/spreadsheetml/2006/main" count="18" uniqueCount="18">
  <si>
    <t>仿真值</t>
  </si>
  <si>
    <t>实测值</t>
  </si>
  <si>
    <t>N</t>
  </si>
  <si>
    <t>a [mm]</t>
  </si>
  <si>
    <t>d [mm]</t>
  </si>
  <si>
    <t>p [mm]</t>
  </si>
  <si>
    <t>my_theta [deg]</t>
  </si>
  <si>
    <t>Freq [MHz]</t>
  </si>
  <si>
    <t>L [uH]</t>
  </si>
  <si>
    <t>R [Ω]</t>
  </si>
  <si>
    <t>Q</t>
  </si>
  <si>
    <t>R[Ω]</t>
    <phoneticPr fontId="18" type="noConversion"/>
  </si>
  <si>
    <t>L[uH]</t>
    <phoneticPr fontId="18" type="noConversion"/>
  </si>
  <si>
    <t>Q</t>
    <phoneticPr fontId="18" type="noConversion"/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</si>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</sst>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1FE4D-D58B-4251-8C1D-25106ADD5964}">
  <dimension ref="A1:R49"/>
  <sheetViews>
    <sheetView tabSelected="1" topLeftCell="B1" zoomScaleNormal="100" workbookViewId="0">
      <selection activeCell="T7" sqref="T7"/>
    </sheetView>
  </sheetViews>
  <sheetFormatPr defaultColWidth="8.625" defaultRowHeight="14.25" x14ac:dyDescent="0.2"/>
  <cols>
    <col min="20" max="20" width="22.875" customWidth="1"/>
    <col min="21" max="21" width="18" customWidth="1"/>
    <col min="23" max="23" width="10.625" customWidth="1"/>
  </cols>
  <sheetData>
    <row r="1" spans="1:18" x14ac:dyDescent="0.2">
      <c r="A1" t="s">
        <v>0</v>
      </c>
      <c r="P1" t="s">
        <v>1</v>
      </c>
    </row>
    <row r="2" spans="1:18" x14ac:dyDescent="0.2">
      <c r="A2" t="s">
        <v>2</v>
      </c>
      <c r="B2" t="s">
        <v>3</v>
      </c>
      <c r="C2" t="s">
        <v>4</v>
      </c>
      <c r="D2" t="s">
        <v>6</v>
      </c>
      <c r="E2" t="s">
        <v>5</v>
      </c>
      <c r="F2" t="s">
        <v>14</v>
      </c>
      <c r="G2" t="s">
        <v>15</v>
      </c>
      <c r="H2" t="s">
        <v>16</v>
      </c>
      <c r="I2" t="s">
        <v>17</v>
      </c>
      <c r="J2" t="s">
        <v>7</v>
      </c>
      <c r="L2" t="s">
        <v>8</v>
      </c>
      <c r="M2" t="s">
        <v>9</v>
      </c>
      <c r="N2" t="s">
        <v>10</v>
      </c>
      <c r="P2" t="s">
        <v>12</v>
      </c>
      <c r="Q2" t="s">
        <v>11</v>
      </c>
      <c r="R2" t="s">
        <v>13</v>
      </c>
    </row>
    <row r="3" spans="1:18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>B3</f>
        <v>30</v>
      </c>
      <c r="G3">
        <f>F3-(A3-1)*2*(C3+E3)-2*C3</f>
        <v>22</v>
      </c>
      <c r="H3">
        <f>2.34*0.000001257*(0.5*A3^2*(F3+G3))/(1+2.73*(F3-G3)/(F3+G3))*1000</f>
        <v>0.21542501408450704</v>
      </c>
      <c r="I3">
        <f>0.0000000168*4*0.5*(F3+G3)/(0.00007*C3)</f>
        <v>1.3866666666666668E-2</v>
      </c>
      <c r="J3">
        <v>6.78</v>
      </c>
      <c r="L3">
        <v>1.8336879E-2</v>
      </c>
      <c r="M3">
        <v>8.8597703E-2</v>
      </c>
      <c r="N3">
        <v>8.8168313170000001</v>
      </c>
      <c r="P3">
        <v>0.17976</v>
      </c>
      <c r="Q3">
        <v>8.6578000000000002E-2</v>
      </c>
      <c r="R3">
        <f>6780000*2*3.1415926*P3*0.000001/Q3</f>
        <v>88.449435412259007</v>
      </c>
    </row>
    <row r="4" spans="1:18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ref="F4:F49" si="0">B4</f>
        <v>30</v>
      </c>
      <c r="G4">
        <f t="shared" ref="G4:G49" si="1">F4-(A4-1)*2*(C4+E4)-2*C4</f>
        <v>25.2</v>
      </c>
      <c r="H4">
        <f t="shared" ref="H4:H49" si="2">2.34*0.000001257*(0.5*A4^2*(F4+G4))/(1+2.73*(F4-G4)/(F4+G4))*1000</f>
        <v>0.26242979957835555</v>
      </c>
      <c r="I4">
        <f t="shared" ref="I4:I49" si="3">0.0000000168*4*0.5*(F4+G4)/(0.00007*C4)</f>
        <v>3.3120000000000004E-2</v>
      </c>
      <c r="J4">
        <v>6.78</v>
      </c>
      <c r="L4">
        <v>1.8447351000000001E-2</v>
      </c>
      <c r="M4">
        <v>0.14243311</v>
      </c>
      <c r="N4">
        <v>5.5173764810000003</v>
      </c>
      <c r="P4">
        <v>0.21931999999999999</v>
      </c>
      <c r="Q4">
        <v>0.13755999999999999</v>
      </c>
      <c r="R4">
        <f t="shared" ref="R4:R49" si="4">6780000*2*3.1415926*P4*0.000001/Q4</f>
        <v>67.919679029324811</v>
      </c>
    </row>
    <row r="5" spans="1:18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</row>
    <row r="6" spans="1:18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</row>
    <row r="7" spans="1:18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</row>
    <row r="8" spans="1:18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</row>
    <row r="9" spans="1:18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</row>
    <row r="10" spans="1:18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</row>
    <row r="11" spans="1:18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</row>
    <row r="12" spans="1:18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</row>
    <row r="13" spans="1:18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</row>
    <row r="14" spans="1:18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</row>
    <row r="15" spans="1:18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</row>
    <row r="16" spans="1:18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</row>
    <row r="17" spans="1:18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</row>
    <row r="18" spans="1:18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</row>
    <row r="19" spans="1:18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</row>
    <row r="20" spans="1:18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</row>
    <row r="21" spans="1:18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</row>
    <row r="22" spans="1:18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</row>
    <row r="23" spans="1:18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</row>
    <row r="24" spans="1:18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</row>
    <row r="25" spans="1:18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</row>
    <row r="26" spans="1:18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</row>
    <row r="27" spans="1:18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</row>
    <row r="28" spans="1:18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</row>
    <row r="29" spans="1:18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</row>
    <row r="30" spans="1:18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</row>
    <row r="31" spans="1:18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</row>
    <row r="32" spans="1:18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</row>
    <row r="33" spans="1:18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</row>
    <row r="34" spans="1:18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</row>
    <row r="35" spans="1:18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</row>
    <row r="36" spans="1:18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</row>
    <row r="37" spans="1:18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</row>
    <row r="38" spans="1:18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</row>
    <row r="39" spans="1:18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</row>
    <row r="40" spans="1:18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</row>
    <row r="41" spans="1:18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</row>
    <row r="42" spans="1:18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</row>
    <row r="43" spans="1:18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</row>
    <row r="44" spans="1:18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</row>
    <row r="45" spans="1:18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</row>
    <row r="46" spans="1:18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</row>
    <row r="47" spans="1:18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</row>
    <row r="48" spans="1:18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</row>
    <row r="49" spans="1:18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53.814924410000003</v>
      </c>
      <c r="M49">
        <v>310.10436390000001</v>
      </c>
      <c r="N49">
        <v>7.3927227489999998</v>
      </c>
      <c r="P49">
        <v>25.117999999999999</v>
      </c>
      <c r="Q49">
        <v>49.35</v>
      </c>
      <c r="R49">
        <f t="shared" si="4"/>
        <v>21.682405083838052</v>
      </c>
    </row>
  </sheetData>
  <phoneticPr fontId="18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2026-04-03T07:11:06Z</dcterms:modified>
</cp:coreProperties>
</file>