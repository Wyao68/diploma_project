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raw_data\实测数据\"/>
    </mc:Choice>
  </mc:AlternateContent>
  <xr:revisionPtr revIDLastSave="0" documentId="13_ncr:1_{63691A39-6597-43C4-AE00-FC3A3923BD59}" xr6:coauthVersionLast="47" xr6:coauthVersionMax="47" xr10:uidLastSave="{00000000-0000-0000-0000-000000000000}"/>
  <bookViews>
    <workbookView xWindow="-110" yWindow="-110" windowWidth="25820" windowHeight="15500" xr2:uid="{3B48B130-AF04-4D73-8C0F-E5A0AD9E9E6F}"/>
  </bookViews>
  <sheets>
    <sheet name="仿真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<sst xmlns="http://schemas.openxmlformats.org/spreadsheetml/2006/main" count="93" uniqueCount="93">
  <si>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仿真值</t>
  </si>
  <si>
    <t>实测值</t>
  </si>
  <si>
    <t>N</t>
  </si>
  <si>
    <t>a [mm]</t>
  </si>
  <si>
    <t>d [mm]</t>
  </si>
  <si>
    <t>p [mm]</t>
  </si>
  <si>
    <t>my_theta [deg]</t>
  </si>
  <si>
    <t>Freq [MHz]</t>
  </si>
  <si>
    <t>L [uH]</t>
  </si>
  <si>
    <t>R [Ω]</t>
  </si>
  <si>
    <t>Q</t>
  </si>
  <si>
    <t>297.65m</t>
    <phoneticPr fontId="18" type="noConversion"/>
  </si>
  <si>
    <t>R[Ω]</t>
    <phoneticPr fontId="18" type="noConversion"/>
  </si>
  <si>
    <t>L[H]</t>
    <phoneticPr fontId="18" type="noConversion"/>
  </si>
  <si>
    <t>915.08n</t>
    <phoneticPr fontId="18" type="noConversion"/>
  </si>
  <si>
    <t>4.2053u</t>
    <phoneticPr fontId="18" type="noConversion"/>
  </si>
  <si>
    <t>419.73m</t>
    <phoneticPr fontId="18" type="noConversion"/>
  </si>
  <si>
    <t>1.2891u</t>
    <phoneticPr fontId="18" type="noConversion"/>
  </si>
  <si>
    <t>327.81m</t>
    <phoneticPr fontId="18" type="noConversion"/>
  </si>
  <si>
    <t>801.98n</t>
    <phoneticPr fontId="18" type="noConversion"/>
  </si>
  <si>
    <t>264.98m</t>
    <phoneticPr fontId="18" type="noConversion"/>
  </si>
  <si>
    <t>646.96n</t>
    <phoneticPr fontId="18" type="noConversion"/>
  </si>
  <si>
    <t>352.56m</t>
    <phoneticPr fontId="18" type="noConversion"/>
  </si>
  <si>
    <t>976.36n</t>
    <phoneticPr fontId="18" type="noConversion"/>
  </si>
  <si>
    <t>206.25m</t>
    <phoneticPr fontId="18" type="noConversion"/>
  </si>
  <si>
    <t>529.49n</t>
    <phoneticPr fontId="18" type="noConversion"/>
  </si>
  <si>
    <t>1.0001u</t>
    <phoneticPr fontId="18" type="noConversion"/>
  </si>
  <si>
    <t>337.32m</t>
    <phoneticPr fontId="18" type="noConversion"/>
  </si>
  <si>
    <t>2.2886u</t>
    <phoneticPr fontId="18" type="noConversion"/>
  </si>
  <si>
    <t>880.01m</t>
    <phoneticPr fontId="18" type="noConversion"/>
  </si>
  <si>
    <t>25.118u</t>
    <phoneticPr fontId="18" type="noConversion"/>
  </si>
  <si>
    <t>6.2736u</t>
    <phoneticPr fontId="18" type="noConversion"/>
  </si>
  <si>
    <t>841.54m</t>
    <phoneticPr fontId="18" type="noConversion"/>
  </si>
  <si>
    <t>2.7973u</t>
    <phoneticPr fontId="18" type="noConversion"/>
  </si>
  <si>
    <t>3.1640u</t>
    <phoneticPr fontId="18" type="noConversion"/>
  </si>
  <si>
    <t>1.7686u</t>
    <phoneticPr fontId="18" type="noConversion"/>
  </si>
  <si>
    <t>625.81m</t>
    <phoneticPr fontId="18" type="noConversion"/>
  </si>
  <si>
    <t>3.3943u</t>
    <phoneticPr fontId="18" type="noConversion"/>
  </si>
  <si>
    <t>2.6410u</t>
    <phoneticPr fontId="18" type="noConversion"/>
  </si>
  <si>
    <t>5.6957u</t>
    <phoneticPr fontId="18" type="noConversion"/>
  </si>
  <si>
    <t>431.46n</t>
    <phoneticPr fontId="18" type="noConversion"/>
  </si>
  <si>
    <t>223.9m</t>
    <phoneticPr fontId="18" type="noConversion"/>
  </si>
  <si>
    <t>解析公式计算值</t>
    <phoneticPr fontId="18" type="noConversion"/>
  </si>
  <si>
    <t>232.84n</t>
    <phoneticPr fontId="18" type="noConversion"/>
  </si>
  <si>
    <t>120.97m</t>
    <phoneticPr fontId="18" type="noConversion"/>
  </si>
  <si>
    <t>528.94n</t>
    <phoneticPr fontId="18" type="noConversion"/>
  </si>
  <si>
    <t>202.79m</t>
    <phoneticPr fontId="18" type="noConversion"/>
  </si>
  <si>
    <t>450.07n</t>
    <phoneticPr fontId="18" type="noConversion"/>
  </si>
  <si>
    <t>139.95m</t>
    <phoneticPr fontId="18" type="noConversion"/>
  </si>
  <si>
    <t>525.66n</t>
    <phoneticPr fontId="18" type="noConversion"/>
  </si>
  <si>
    <t>210.78m</t>
    <phoneticPr fontId="18" type="noConversion"/>
  </si>
  <si>
    <t>1.4652u</t>
    <phoneticPr fontId="18" type="noConversion"/>
  </si>
  <si>
    <t>640.64m</t>
    <phoneticPr fontId="18" type="noConversion"/>
  </si>
  <si>
    <t>2.3499u</t>
    <phoneticPr fontId="18" type="noConversion"/>
  </si>
  <si>
    <t>803.60m</t>
    <phoneticPr fontId="18" type="noConversion"/>
  </si>
  <si>
    <t>6.9462u</t>
    <phoneticPr fontId="18" type="noConversion"/>
  </si>
  <si>
    <t>3.5184u</t>
    <phoneticPr fontId="18" type="noConversion"/>
  </si>
  <si>
    <t>6.7918u</t>
    <phoneticPr fontId="18" type="noConversion"/>
  </si>
  <si>
    <t>2.9022u</t>
    <phoneticPr fontId="18" type="noConversion"/>
  </si>
  <si>
    <t>3.5009u</t>
    <phoneticPr fontId="18" type="noConversion"/>
  </si>
  <si>
    <t>2.8702u</t>
    <phoneticPr fontId="18" type="noConversion"/>
  </si>
  <si>
    <t>219.32n</t>
    <phoneticPr fontId="18" type="noConversion"/>
  </si>
  <si>
    <t>137.56m</t>
    <phoneticPr fontId="18" type="noConversion"/>
  </si>
  <si>
    <t>179.76n</t>
    <phoneticPr fontId="18" type="noConversion"/>
  </si>
  <si>
    <t>86.578m</t>
    <phoneticPr fontId="18" type="noConversion"/>
  </si>
  <si>
    <t>2.1834u</t>
    <phoneticPr fontId="18" type="noConversion"/>
  </si>
  <si>
    <t>775.92m</t>
    <phoneticPr fontId="18" type="noConversion"/>
  </si>
  <si>
    <t>393.15n</t>
    <phoneticPr fontId="18" type="noConversion"/>
  </si>
  <si>
    <t>132.32m</t>
    <phoneticPr fontId="18" type="noConversion"/>
  </si>
  <si>
    <t>980.89n</t>
    <phoneticPr fontId="18" type="noConversion"/>
  </si>
  <si>
    <t>277.75m</t>
    <phoneticPr fontId="18" type="noConversion"/>
  </si>
  <si>
    <t>4.4965u</t>
    <phoneticPr fontId="18" type="noConversion"/>
  </si>
  <si>
    <t>3.0985u</t>
    <phoneticPr fontId="18" type="noConversion"/>
  </si>
  <si>
    <t>882.25m</t>
    <phoneticPr fontId="18" type="noConversion"/>
  </si>
  <si>
    <t>6.5360u</t>
    <phoneticPr fontId="18" type="noConversion"/>
  </si>
  <si>
    <t>543.20n</t>
    <phoneticPr fontId="18" type="noConversion"/>
  </si>
  <si>
    <t>217.59m</t>
    <phoneticPr fontId="18" type="noConversion"/>
  </si>
  <si>
    <t>774.82n</t>
    <phoneticPr fontId="18" type="noConversion"/>
  </si>
  <si>
    <t>226.10m</t>
    <phoneticPr fontId="18" type="noConversion"/>
  </si>
  <si>
    <t>1.5939u</t>
    <phoneticPr fontId="18" type="noConversion"/>
  </si>
  <si>
    <t>632.48m</t>
    <phoneticPr fontId="18" type="noConversion"/>
  </si>
  <si>
    <t>1.9615u</t>
    <phoneticPr fontId="18" type="noConversion"/>
  </si>
  <si>
    <t>518.60m</t>
    <phoneticPr fontId="18" type="noConversion"/>
  </si>
  <si>
    <t>555.50n</t>
    <phoneticPr fontId="18" type="noConversion"/>
  </si>
  <si>
    <t>189.73m</t>
    <phoneticPr fontId="18" type="noConversion"/>
  </si>
  <si>
    <t>412.81n</t>
    <phoneticPr fontId="18" type="noConversion"/>
  </si>
  <si>
    <t>201.90m</t>
    <phoneticPr fontId="18" type="noConversion"/>
  </si>
  <si>
    <t>245.48n</t>
    <phoneticPr fontId="18" type="noConversion"/>
  </si>
  <si>
    <t>98.413m</t>
    <phoneticPr fontId="18" type="noConversion"/>
  </si>
  <si>
    <t>641.93n</t>
    <phoneticPr fontId="18" type="noConversion"/>
  </si>
  <si>
    <t>204.07m</t>
    <phoneticPr fontId="18" type="noConversion"/>
  </si>
  <si>
    <t>1.1099u</t>
    <phoneticPr fontId="18" type="noConversion"/>
  </si>
  <si>
    <t>243.01m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</si>
</sst>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FE4D-D58B-4251-8C1D-25106ADD5964}">
  <dimension ref="A1:N57"/>
  <sheetViews>
    <sheetView tabSelected="1" zoomScaleNormal="100" workbookViewId="0">
      <selection activeCell="L29" sqref="L29"/>
    </sheetView>
  </sheetViews>
  <sheetFormatPr defaultRowHeight="14" x14ac:dyDescent="0.3"/>
  <cols>
    <col min="1" max="16384" width="8.6640625" style="1"/>
  </cols>
  <sheetData>
    <row r="1" spans="1:14" x14ac:dyDescent="0.3">
      <c r="A1" s="1" t="s">
        <v>0</v>
      </c>
      <c r="K1" s="1" t="s">
        <v>1</v>
      </c>
      <c r="N1" s="1" t="s">
        <v>42</v>
      </c>
    </row>
    <row r="2" spans="1:14" x14ac:dyDescent="0.3">
      <c r="A2" s="1" t="s">
        <v>2</v>
      </c>
      <c r="B2" s="1" t="s">
        <v>3</v>
      </c>
      <c r="C2" s="1" t="s">
        <v>4</v>
      </c>
      <c r="D2" s="1" t="s">
        <v>6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K2" s="1" t="s">
        <v>13</v>
      </c>
      <c r="L2" s="1" t="s">
        <v>12</v>
      </c>
    </row>
    <row r="3" spans="1:14" x14ac:dyDescent="0.3">
      <c r="A3" s="1">
        <v>4</v>
      </c>
      <c r="B3" s="1">
        <v>30</v>
      </c>
      <c r="C3" s="1">
        <v>0.8</v>
      </c>
      <c r="D3" s="1">
        <v>30</v>
      </c>
      <c r="E3" s="1">
        <v>0.5</v>
      </c>
      <c r="F3" s="1">
        <v>6.78</v>
      </c>
      <c r="G3" s="1">
        <v>0.61613417500000001</v>
      </c>
      <c r="H3" s="1">
        <v>0.30490420299999998</v>
      </c>
      <c r="I3" s="1">
        <v>86.083803979999999</v>
      </c>
      <c r="K3" s="1" t="s">
        <v>21</v>
      </c>
      <c r="L3" s="1" t="s">
        <v>20</v>
      </c>
    </row>
    <row r="4" spans="1:14" x14ac:dyDescent="0.3">
      <c r="A4" s="1">
        <v>4</v>
      </c>
      <c r="B4" s="1">
        <v>30</v>
      </c>
      <c r="C4" s="1">
        <v>1</v>
      </c>
      <c r="D4" s="1">
        <v>40</v>
      </c>
      <c r="E4" s="1">
        <v>0.7</v>
      </c>
      <c r="F4" s="1">
        <v>6.78</v>
      </c>
      <c r="G4" s="1">
        <v>0.50216950599999999</v>
      </c>
      <c r="H4" s="1">
        <v>0.24313542799999999</v>
      </c>
      <c r="I4" s="1">
        <v>87.985610780000002</v>
      </c>
      <c r="K4" s="1" t="s">
        <v>25</v>
      </c>
      <c r="L4" s="1" t="s">
        <v>24</v>
      </c>
    </row>
    <row r="5" spans="1:14" x14ac:dyDescent="0.3">
      <c r="A5" s="1">
        <v>4</v>
      </c>
      <c r="B5" s="1">
        <v>35</v>
      </c>
      <c r="C5" s="1">
        <v>0.8</v>
      </c>
      <c r="D5" s="1">
        <v>50</v>
      </c>
      <c r="E5" s="1">
        <v>0.5</v>
      </c>
      <c r="F5" s="1">
        <v>6.78</v>
      </c>
      <c r="G5" s="1">
        <v>0.76796678200000001</v>
      </c>
      <c r="H5" s="1">
        <v>0.347383043</v>
      </c>
      <c r="I5" s="1">
        <v>94.176681419999994</v>
      </c>
      <c r="K5" s="1" t="s">
        <v>19</v>
      </c>
      <c r="L5" s="1" t="s">
        <v>18</v>
      </c>
    </row>
    <row r="6" spans="1:14" x14ac:dyDescent="0.3">
      <c r="A6" s="1">
        <v>4</v>
      </c>
      <c r="B6" s="1">
        <v>40</v>
      </c>
      <c r="C6" s="1">
        <v>0.8</v>
      </c>
      <c r="D6" s="1">
        <v>85</v>
      </c>
      <c r="E6" s="1">
        <v>0.5</v>
      </c>
      <c r="F6" s="1">
        <v>6.78</v>
      </c>
      <c r="G6" s="1">
        <v>0.88167009100000004</v>
      </c>
      <c r="H6" s="1">
        <v>0.38021389999999999</v>
      </c>
      <c r="I6" s="1">
        <v>98.784244090000001</v>
      </c>
      <c r="K6" s="1" t="s">
        <v>14</v>
      </c>
      <c r="L6" s="1" t="s">
        <v>11</v>
      </c>
    </row>
    <row r="7" spans="1:14" x14ac:dyDescent="0.3">
      <c r="A7" s="1">
        <v>4</v>
      </c>
      <c r="B7" s="1">
        <v>40</v>
      </c>
      <c r="C7" s="1">
        <v>0.8</v>
      </c>
      <c r="D7" s="1">
        <v>20</v>
      </c>
      <c r="E7" s="1">
        <v>0.7</v>
      </c>
      <c r="F7" s="1">
        <v>6.78</v>
      </c>
      <c r="G7" s="1">
        <v>0.96243375600000003</v>
      </c>
      <c r="H7" s="1">
        <v>0.40098629499999999</v>
      </c>
      <c r="I7" s="1">
        <v>102.2470718</v>
      </c>
      <c r="K7" s="1" t="s">
        <v>26</v>
      </c>
      <c r="L7" s="1" t="s">
        <v>27</v>
      </c>
    </row>
    <row r="8" spans="1:14" x14ac:dyDescent="0.3">
      <c r="A8" s="1">
        <v>4</v>
      </c>
      <c r="B8" s="1">
        <v>40</v>
      </c>
      <c r="C8" s="1">
        <v>1</v>
      </c>
      <c r="D8" s="1">
        <v>20</v>
      </c>
      <c r="E8" s="1">
        <v>0.5</v>
      </c>
      <c r="F8" s="1">
        <v>6.78</v>
      </c>
      <c r="G8" s="1">
        <v>0.93857469000000004</v>
      </c>
      <c r="H8" s="1">
        <v>0.286905309</v>
      </c>
      <c r="I8" s="1">
        <v>139.36053870000001</v>
      </c>
      <c r="K8" s="1" t="s">
        <v>23</v>
      </c>
      <c r="L8" s="1" t="s">
        <v>22</v>
      </c>
    </row>
    <row r="9" spans="1:14" x14ac:dyDescent="0.3">
      <c r="A9" s="1">
        <v>4</v>
      </c>
      <c r="B9" s="1">
        <v>50</v>
      </c>
      <c r="C9" s="1">
        <v>1</v>
      </c>
      <c r="D9" s="1">
        <v>60</v>
      </c>
      <c r="E9" s="1">
        <v>0.5</v>
      </c>
      <c r="F9" s="1">
        <v>6.78</v>
      </c>
      <c r="G9" s="1">
        <v>1.2461269290000001</v>
      </c>
      <c r="H9" s="1">
        <v>0.43579581000000001</v>
      </c>
      <c r="I9" s="1">
        <v>121.8116409</v>
      </c>
      <c r="K9" s="1" t="s">
        <v>17</v>
      </c>
      <c r="L9" s="1" t="s">
        <v>16</v>
      </c>
    </row>
    <row r="10" spans="1:14" x14ac:dyDescent="0.3">
      <c r="A10" s="1">
        <v>7</v>
      </c>
      <c r="B10" s="1">
        <v>40</v>
      </c>
      <c r="C10" s="1">
        <v>0.8</v>
      </c>
      <c r="D10" s="1">
        <v>30</v>
      </c>
      <c r="E10" s="1">
        <v>0.5</v>
      </c>
      <c r="F10" s="1">
        <v>6.78</v>
      </c>
      <c r="G10" s="1">
        <v>2.2012860359999999</v>
      </c>
      <c r="H10" s="1">
        <v>1.0064413999999999</v>
      </c>
      <c r="I10" s="1">
        <v>93.174602289999996</v>
      </c>
      <c r="K10" s="1" t="s">
        <v>28</v>
      </c>
      <c r="L10" s="1" t="s">
        <v>29</v>
      </c>
    </row>
    <row r="11" spans="1:14" x14ac:dyDescent="0.3">
      <c r="A11" s="1">
        <v>7</v>
      </c>
      <c r="B11" s="1">
        <v>60</v>
      </c>
      <c r="C11" s="1">
        <v>1</v>
      </c>
      <c r="D11" s="1">
        <v>40</v>
      </c>
      <c r="E11" s="1">
        <v>0.7</v>
      </c>
      <c r="F11" s="1">
        <v>6.78</v>
      </c>
      <c r="G11" s="1">
        <v>4.0419453660000002</v>
      </c>
      <c r="H11" s="1">
        <v>1.6846081799999999</v>
      </c>
      <c r="I11" s="1">
        <v>102.211814</v>
      </c>
      <c r="K11" s="1" t="s">
        <v>15</v>
      </c>
      <c r="L11" s="1">
        <v>1.5207999999999999</v>
      </c>
    </row>
    <row r="12" spans="1:14" x14ac:dyDescent="0.3">
      <c r="A12" s="1">
        <v>7</v>
      </c>
      <c r="B12" s="1">
        <v>100</v>
      </c>
      <c r="C12" s="1">
        <v>0.8</v>
      </c>
      <c r="D12" s="1">
        <v>80</v>
      </c>
      <c r="E12" s="1">
        <v>0.5</v>
      </c>
      <c r="F12" s="1">
        <v>6.78</v>
      </c>
      <c r="G12" s="1">
        <v>53.814924410000003</v>
      </c>
      <c r="H12" s="1">
        <v>310.10436390000001</v>
      </c>
      <c r="I12" s="1">
        <v>7.3927227489999998</v>
      </c>
      <c r="K12" s="1" t="s">
        <v>30</v>
      </c>
      <c r="L12" s="1">
        <v>49.35</v>
      </c>
    </row>
    <row r="14" spans="1:14" x14ac:dyDescent="0.3">
      <c r="A14" s="1">
        <v>2</v>
      </c>
      <c r="B14" s="1">
        <v>30</v>
      </c>
      <c r="C14" s="1">
        <v>1.8</v>
      </c>
      <c r="D14" s="1">
        <v>49.9</v>
      </c>
      <c r="E14" s="1">
        <v>0.4</v>
      </c>
      <c r="F14" s="1">
        <v>6.78</v>
      </c>
      <c r="G14" s="1">
        <v>1.8336879E-2</v>
      </c>
      <c r="H14" s="1">
        <v>8.8597703E-2</v>
      </c>
      <c r="I14" s="1">
        <v>8.8168313170000001</v>
      </c>
      <c r="K14" s="1" t="s">
        <v>63</v>
      </c>
      <c r="L14" s="1" t="s">
        <v>64</v>
      </c>
    </row>
    <row r="15" spans="1:14" x14ac:dyDescent="0.3">
      <c r="A15" s="1">
        <v>2</v>
      </c>
      <c r="B15" s="1">
        <v>30</v>
      </c>
      <c r="C15" s="1">
        <v>0.8</v>
      </c>
      <c r="D15" s="1">
        <v>69.900000000000006</v>
      </c>
      <c r="E15" s="1">
        <v>0.8</v>
      </c>
      <c r="F15" s="1">
        <v>6.78</v>
      </c>
      <c r="G15" s="1">
        <v>1.8447351000000001E-2</v>
      </c>
      <c r="H15" s="1">
        <v>0.14243311</v>
      </c>
      <c r="I15" s="1">
        <v>5.5173764810000003</v>
      </c>
      <c r="K15" s="1" t="s">
        <v>61</v>
      </c>
      <c r="L15" s="1" t="s">
        <v>62</v>
      </c>
    </row>
    <row r="16" spans="1:14" x14ac:dyDescent="0.3">
      <c r="A16" s="1">
        <v>2</v>
      </c>
      <c r="B16" s="1">
        <v>35</v>
      </c>
      <c r="C16" s="1">
        <v>1</v>
      </c>
      <c r="D16" s="1">
        <v>89.9</v>
      </c>
      <c r="E16" s="1">
        <v>1.2</v>
      </c>
      <c r="F16" s="1">
        <v>6.78</v>
      </c>
      <c r="G16" s="1">
        <v>0.20360604400000001</v>
      </c>
      <c r="H16" s="1">
        <v>0.10173750099999999</v>
      </c>
      <c r="I16" s="1">
        <v>85.254862779999996</v>
      </c>
      <c r="K16" s="1" t="s">
        <v>43</v>
      </c>
      <c r="L16" s="1" t="s">
        <v>44</v>
      </c>
    </row>
    <row r="17" spans="1:12" x14ac:dyDescent="0.3">
      <c r="A17" s="1">
        <v>2</v>
      </c>
      <c r="B17" s="1">
        <v>40</v>
      </c>
      <c r="C17" s="1">
        <v>1.8</v>
      </c>
      <c r="D17" s="1">
        <v>69.900000000000006</v>
      </c>
      <c r="E17" s="1">
        <v>1.2</v>
      </c>
      <c r="F17" s="1">
        <v>6.78</v>
      </c>
      <c r="G17" s="1">
        <v>0.22009542400000001</v>
      </c>
      <c r="H17" s="1">
        <v>8.1930591999999997E-2</v>
      </c>
      <c r="I17" s="1">
        <v>114.43911319999999</v>
      </c>
      <c r="K17" s="1" t="s">
        <v>87</v>
      </c>
      <c r="L17" s="1" t="s">
        <v>88</v>
      </c>
    </row>
    <row r="18" spans="1:12" x14ac:dyDescent="0.3">
      <c r="A18" s="1">
        <v>2</v>
      </c>
      <c r="B18" s="1">
        <v>45</v>
      </c>
      <c r="C18" s="1">
        <v>0.8</v>
      </c>
      <c r="D18" s="1">
        <v>9.9</v>
      </c>
      <c r="E18" s="1">
        <v>0.6</v>
      </c>
      <c r="F18" s="1">
        <v>6.78</v>
      </c>
      <c r="G18" s="1">
        <v>0.39931357000000001</v>
      </c>
      <c r="H18" s="1">
        <v>0.189874984</v>
      </c>
      <c r="I18" s="1">
        <v>89.589246169999996</v>
      </c>
      <c r="K18" s="1" t="s">
        <v>40</v>
      </c>
      <c r="L18" s="1" t="s">
        <v>41</v>
      </c>
    </row>
    <row r="19" spans="1:12" x14ac:dyDescent="0.3">
      <c r="A19" s="1">
        <v>2</v>
      </c>
      <c r="B19" s="1">
        <v>50</v>
      </c>
      <c r="C19" s="1">
        <v>1.8</v>
      </c>
      <c r="D19" s="1">
        <v>9.9</v>
      </c>
      <c r="E19" s="1">
        <v>0.8</v>
      </c>
      <c r="F19" s="1">
        <v>6.78</v>
      </c>
      <c r="G19" s="1">
        <v>0.36704583099999999</v>
      </c>
      <c r="H19" s="1">
        <v>0.12008523</v>
      </c>
      <c r="I19" s="1">
        <v>130.20877830000001</v>
      </c>
      <c r="K19" s="1" t="s">
        <v>67</v>
      </c>
      <c r="L19" s="1" t="s">
        <v>68</v>
      </c>
    </row>
    <row r="20" spans="1:12" x14ac:dyDescent="0.3">
      <c r="A20" s="1">
        <v>2</v>
      </c>
      <c r="B20" s="1">
        <v>55</v>
      </c>
      <c r="C20" s="1">
        <v>1.8</v>
      </c>
      <c r="D20" s="1">
        <v>29.9</v>
      </c>
      <c r="E20" s="1">
        <v>0.4</v>
      </c>
      <c r="F20" s="1">
        <v>6.78</v>
      </c>
      <c r="G20" s="1">
        <v>0.42159802699999999</v>
      </c>
      <c r="H20" s="1">
        <v>0.126449279</v>
      </c>
      <c r="I20" s="1">
        <v>142.0338223</v>
      </c>
      <c r="K20" s="1" t="s">
        <v>47</v>
      </c>
      <c r="L20" s="1" t="s">
        <v>48</v>
      </c>
    </row>
    <row r="21" spans="1:12" x14ac:dyDescent="0.3">
      <c r="A21" s="1">
        <v>2</v>
      </c>
      <c r="B21" s="1">
        <v>60</v>
      </c>
      <c r="C21" s="1">
        <v>0.8</v>
      </c>
      <c r="D21" s="1">
        <v>89.9</v>
      </c>
      <c r="E21" s="1">
        <v>0.6</v>
      </c>
      <c r="F21" s="1">
        <v>6.78</v>
      </c>
      <c r="G21" s="1">
        <v>0.49101350199999999</v>
      </c>
      <c r="H21" s="1">
        <v>0.20401693400000001</v>
      </c>
      <c r="I21" s="1">
        <v>102.5266529</v>
      </c>
      <c r="K21" s="1" t="s">
        <v>49</v>
      </c>
      <c r="L21" s="1" t="s">
        <v>50</v>
      </c>
    </row>
    <row r="22" spans="1:12" x14ac:dyDescent="0.3">
      <c r="A22" s="1">
        <v>3</v>
      </c>
      <c r="B22" s="1">
        <v>30</v>
      </c>
      <c r="C22" s="1">
        <v>1</v>
      </c>
      <c r="D22" s="1">
        <v>9.9</v>
      </c>
      <c r="E22" s="1">
        <v>0.6</v>
      </c>
      <c r="F22" s="1">
        <v>6.78</v>
      </c>
      <c r="G22" s="1">
        <v>0.30093238700000002</v>
      </c>
      <c r="H22" s="1">
        <v>0.36028702400000001</v>
      </c>
      <c r="I22" s="1">
        <v>35.581960359999997</v>
      </c>
      <c r="K22" s="1" t="s">
        <v>85</v>
      </c>
      <c r="L22" s="1" t="s">
        <v>86</v>
      </c>
    </row>
    <row r="23" spans="1:12" x14ac:dyDescent="0.3">
      <c r="A23" s="1">
        <v>3</v>
      </c>
      <c r="B23" s="1">
        <v>40</v>
      </c>
      <c r="C23" s="1">
        <v>1.2</v>
      </c>
      <c r="D23" s="1">
        <v>9.9</v>
      </c>
      <c r="E23" s="1">
        <v>1.2</v>
      </c>
      <c r="F23" s="1">
        <v>6.78</v>
      </c>
      <c r="G23" s="1">
        <v>0.49855030700000003</v>
      </c>
      <c r="H23" s="1">
        <v>0.20871194800000001</v>
      </c>
      <c r="I23" s="1">
        <v>101.7586268</v>
      </c>
      <c r="K23" s="1" t="s">
        <v>75</v>
      </c>
      <c r="L23" s="1" t="s">
        <v>76</v>
      </c>
    </row>
    <row r="24" spans="1:12" x14ac:dyDescent="0.3">
      <c r="A24" s="1">
        <v>3</v>
      </c>
      <c r="B24" s="1">
        <v>40</v>
      </c>
      <c r="C24" s="1">
        <v>1.4</v>
      </c>
      <c r="D24" s="1">
        <v>29.9</v>
      </c>
      <c r="E24" s="1">
        <v>0.8</v>
      </c>
      <c r="F24" s="1">
        <v>6.78</v>
      </c>
      <c r="G24" s="1">
        <v>0.398311211</v>
      </c>
      <c r="H24" s="1">
        <v>0.37315062300000001</v>
      </c>
      <c r="I24" s="1">
        <v>45.472404709999999</v>
      </c>
      <c r="K24" s="1" t="s">
        <v>45</v>
      </c>
      <c r="L24" s="1" t="s">
        <v>46</v>
      </c>
    </row>
    <row r="25" spans="1:12" x14ac:dyDescent="0.3">
      <c r="A25" s="1">
        <v>3</v>
      </c>
      <c r="B25" s="1">
        <v>45</v>
      </c>
      <c r="C25" s="1">
        <v>1.8</v>
      </c>
      <c r="D25" s="1">
        <v>9.9</v>
      </c>
      <c r="E25" s="1">
        <v>1.2</v>
      </c>
      <c r="F25" s="1">
        <v>6.78</v>
      </c>
      <c r="G25" s="1">
        <v>0.52214684899999997</v>
      </c>
      <c r="H25" s="1">
        <v>0.16807523199999999</v>
      </c>
      <c r="I25" s="1">
        <v>132.34224699999999</v>
      </c>
      <c r="K25" s="1" t="s">
        <v>83</v>
      </c>
      <c r="L25" s="1" t="s">
        <v>84</v>
      </c>
    </row>
    <row r="26" spans="1:12" x14ac:dyDescent="0.3">
      <c r="A26" s="1">
        <v>3</v>
      </c>
      <c r="B26" s="1">
        <v>50</v>
      </c>
      <c r="C26" s="1">
        <v>1.8</v>
      </c>
      <c r="D26" s="1">
        <v>29.9</v>
      </c>
      <c r="E26" s="1">
        <v>1.2</v>
      </c>
      <c r="F26" s="1">
        <v>6.78</v>
      </c>
      <c r="G26" s="1">
        <v>0.60386275700000003</v>
      </c>
      <c r="H26" s="1">
        <v>0.181093175</v>
      </c>
      <c r="I26" s="1">
        <v>142.0514671</v>
      </c>
      <c r="K26" s="1" t="s">
        <v>89</v>
      </c>
      <c r="L26" s="1" t="s">
        <v>90</v>
      </c>
    </row>
    <row r="27" spans="1:12" x14ac:dyDescent="0.3">
      <c r="A27" s="1">
        <v>3</v>
      </c>
      <c r="B27" s="1">
        <v>55</v>
      </c>
      <c r="C27" s="1">
        <v>1.6</v>
      </c>
      <c r="D27" s="1">
        <v>49.9</v>
      </c>
      <c r="E27" s="1">
        <v>1</v>
      </c>
      <c r="F27" s="1">
        <v>6.78</v>
      </c>
      <c r="G27" s="1">
        <v>0.73533036200000002</v>
      </c>
      <c r="H27" s="1">
        <v>0.20875734400000001</v>
      </c>
      <c r="I27" s="1">
        <v>150.05493989999999</v>
      </c>
      <c r="K27" s="1" t="s">
        <v>77</v>
      </c>
      <c r="L27" s="1" t="s">
        <v>78</v>
      </c>
    </row>
    <row r="28" spans="1:12" x14ac:dyDescent="0.3">
      <c r="A28" s="1">
        <v>3</v>
      </c>
      <c r="B28" s="1">
        <v>60</v>
      </c>
      <c r="C28" s="1">
        <v>1.4</v>
      </c>
      <c r="D28" s="1">
        <v>9.9</v>
      </c>
      <c r="E28" s="1">
        <v>1.2</v>
      </c>
      <c r="F28" s="1">
        <v>6.78</v>
      </c>
      <c r="G28" s="1">
        <v>0.93185604300000002</v>
      </c>
      <c r="H28" s="1">
        <v>0.29370295099999999</v>
      </c>
      <c r="I28" s="1">
        <v>135.16058960000001</v>
      </c>
      <c r="K28" s="1" t="s">
        <v>69</v>
      </c>
      <c r="L28" s="1" t="s">
        <v>70</v>
      </c>
    </row>
    <row r="29" spans="1:12" x14ac:dyDescent="0.3">
      <c r="A29" s="1">
        <v>3</v>
      </c>
      <c r="B29" s="1">
        <v>70</v>
      </c>
      <c r="C29" s="1">
        <v>1.8</v>
      </c>
      <c r="D29" s="1">
        <v>49.9</v>
      </c>
      <c r="E29" s="1">
        <v>0.8</v>
      </c>
      <c r="F29" s="1">
        <v>6.78</v>
      </c>
      <c r="G29" s="1">
        <v>1.0631741539999999</v>
      </c>
      <c r="H29" s="1">
        <v>0.262538357</v>
      </c>
      <c r="I29" s="1">
        <v>172.51275419999999</v>
      </c>
      <c r="K29" s="1" t="s">
        <v>91</v>
      </c>
      <c r="L29" s="1" t="s">
        <v>92</v>
      </c>
    </row>
    <row r="30" spans="1:12" x14ac:dyDescent="0.3">
      <c r="A30" s="2">
        <v>4</v>
      </c>
      <c r="B30" s="2">
        <v>45</v>
      </c>
      <c r="C30" s="2">
        <v>0.8</v>
      </c>
      <c r="D30" s="2">
        <v>89.9</v>
      </c>
      <c r="E30" s="2">
        <v>0.8</v>
      </c>
      <c r="F30" s="2">
        <v>6.78</v>
      </c>
      <c r="G30" s="2">
        <v>0.97154763099999997</v>
      </c>
      <c r="H30" s="2">
        <v>0.44398856399999997</v>
      </c>
      <c r="I30" s="2">
        <v>93.218449539999995</v>
      </c>
    </row>
    <row r="31" spans="1:12" x14ac:dyDescent="0.3">
      <c r="A31" s="2">
        <v>4</v>
      </c>
      <c r="B31" s="2">
        <v>55</v>
      </c>
      <c r="C31" s="2">
        <v>1.6</v>
      </c>
      <c r="D31" s="2">
        <v>49.9</v>
      </c>
      <c r="E31" s="2">
        <v>0.4</v>
      </c>
      <c r="F31" s="2">
        <v>6.78</v>
      </c>
      <c r="G31" s="2">
        <v>1.251840533</v>
      </c>
      <c r="H31" s="2">
        <v>0.468870499</v>
      </c>
      <c r="I31" s="2">
        <v>113.7380199</v>
      </c>
    </row>
    <row r="32" spans="1:12" x14ac:dyDescent="0.3">
      <c r="A32" s="2">
        <v>4</v>
      </c>
      <c r="B32" s="2">
        <v>55</v>
      </c>
      <c r="C32" s="2">
        <v>1.4</v>
      </c>
      <c r="D32" s="2">
        <v>69.900000000000006</v>
      </c>
      <c r="E32" s="2">
        <v>1</v>
      </c>
      <c r="F32" s="2">
        <v>6.78</v>
      </c>
      <c r="G32" s="2">
        <v>1.1114784369999999</v>
      </c>
      <c r="H32" s="2">
        <v>0.32620402199999998</v>
      </c>
      <c r="I32" s="2">
        <v>145.15142109999999</v>
      </c>
    </row>
    <row r="33" spans="1:12" x14ac:dyDescent="0.3">
      <c r="A33" s="2">
        <v>4</v>
      </c>
      <c r="B33" s="2">
        <v>60</v>
      </c>
      <c r="C33" s="2">
        <v>1.4</v>
      </c>
      <c r="D33" s="2">
        <v>9.9</v>
      </c>
      <c r="E33" s="2">
        <v>0.4</v>
      </c>
      <c r="F33" s="2">
        <v>6.78</v>
      </c>
      <c r="G33" s="2">
        <v>1.6951933480000001</v>
      </c>
      <c r="H33" s="2">
        <v>0.60421065500000004</v>
      </c>
      <c r="I33" s="2">
        <v>119.51995530000001</v>
      </c>
    </row>
    <row r="34" spans="1:12" x14ac:dyDescent="0.3">
      <c r="A34" s="2">
        <v>4</v>
      </c>
      <c r="B34" s="2">
        <v>60</v>
      </c>
      <c r="C34" s="2">
        <v>0.8</v>
      </c>
      <c r="D34" s="2">
        <v>49.9</v>
      </c>
      <c r="E34" s="2">
        <v>0.4</v>
      </c>
      <c r="F34" s="2">
        <v>6.78</v>
      </c>
      <c r="G34" s="2">
        <v>1.8759349729999999</v>
      </c>
      <c r="H34" s="2">
        <v>0.685534058</v>
      </c>
      <c r="I34" s="2">
        <v>116.5730894</v>
      </c>
    </row>
    <row r="35" spans="1:12" x14ac:dyDescent="0.3">
      <c r="A35" s="2">
        <v>4</v>
      </c>
      <c r="B35" s="2">
        <v>80</v>
      </c>
      <c r="C35" s="2">
        <v>1.6</v>
      </c>
      <c r="D35" s="2">
        <v>69.900000000000006</v>
      </c>
      <c r="E35" s="2">
        <v>1.2</v>
      </c>
      <c r="F35" s="2">
        <v>6.78</v>
      </c>
      <c r="G35" s="2">
        <v>1.9267512689999999</v>
      </c>
      <c r="H35" s="2">
        <v>0.47889950799999997</v>
      </c>
      <c r="I35" s="2">
        <v>171.39211</v>
      </c>
    </row>
    <row r="36" spans="1:12" x14ac:dyDescent="0.3">
      <c r="A36" s="2">
        <v>4</v>
      </c>
      <c r="B36" s="2">
        <v>80</v>
      </c>
      <c r="C36" s="2">
        <v>1.6</v>
      </c>
      <c r="D36" s="2">
        <v>25</v>
      </c>
      <c r="E36" s="2">
        <v>0.4</v>
      </c>
      <c r="F36" s="2">
        <v>6.78</v>
      </c>
      <c r="G36" s="2">
        <v>2.5528820909999999</v>
      </c>
      <c r="H36" s="2">
        <v>0.84264444299999997</v>
      </c>
      <c r="I36" s="2">
        <v>129.06127699999999</v>
      </c>
    </row>
    <row r="37" spans="1:12" x14ac:dyDescent="0.3">
      <c r="A37" s="1">
        <v>5</v>
      </c>
      <c r="B37" s="1">
        <v>40</v>
      </c>
      <c r="C37" s="1">
        <v>0.8</v>
      </c>
      <c r="D37" s="1">
        <v>9.9</v>
      </c>
      <c r="E37" s="1">
        <v>0.4</v>
      </c>
      <c r="F37" s="1">
        <v>6.78</v>
      </c>
      <c r="G37" s="1">
        <v>1.505167513</v>
      </c>
      <c r="H37" s="1">
        <v>0.96039989800000003</v>
      </c>
      <c r="I37" s="1">
        <v>66.763991430000004</v>
      </c>
      <c r="K37" s="1" t="s">
        <v>79</v>
      </c>
      <c r="L37" s="1" t="s">
        <v>80</v>
      </c>
    </row>
    <row r="38" spans="1:12" x14ac:dyDescent="0.3">
      <c r="A38" s="1">
        <v>5</v>
      </c>
      <c r="B38" s="1">
        <v>40</v>
      </c>
      <c r="C38" s="1">
        <v>0.8</v>
      </c>
      <c r="D38" s="1">
        <v>9.9</v>
      </c>
      <c r="E38" s="1">
        <v>0.6</v>
      </c>
      <c r="F38" s="1">
        <v>6.78</v>
      </c>
      <c r="G38" s="1">
        <v>1.3952307989999999</v>
      </c>
      <c r="H38" s="1">
        <v>0.572882691</v>
      </c>
      <c r="I38" s="1">
        <v>103.7504326</v>
      </c>
      <c r="K38" s="1" t="s">
        <v>51</v>
      </c>
      <c r="L38" s="1" t="s">
        <v>52</v>
      </c>
    </row>
    <row r="39" spans="1:12" x14ac:dyDescent="0.3">
      <c r="A39" s="1">
        <v>5</v>
      </c>
      <c r="B39" s="1">
        <v>55</v>
      </c>
      <c r="C39" s="1">
        <v>1</v>
      </c>
      <c r="D39" s="1">
        <v>9.9</v>
      </c>
      <c r="E39" s="1">
        <v>0.6</v>
      </c>
      <c r="F39" s="1">
        <v>6.78</v>
      </c>
      <c r="G39" s="1">
        <v>2.252865989</v>
      </c>
      <c r="H39" s="1">
        <v>0.87889271800000002</v>
      </c>
      <c r="I39" s="1">
        <v>109.1965845</v>
      </c>
      <c r="K39" s="1" t="s">
        <v>53</v>
      </c>
      <c r="L39" s="1" t="s">
        <v>54</v>
      </c>
    </row>
    <row r="40" spans="1:12" x14ac:dyDescent="0.3">
      <c r="A40" s="1">
        <v>5</v>
      </c>
      <c r="B40" s="1">
        <v>60</v>
      </c>
      <c r="C40" s="1">
        <v>1.2</v>
      </c>
      <c r="D40" s="1">
        <v>69.900000000000006</v>
      </c>
      <c r="E40" s="1">
        <v>1</v>
      </c>
      <c r="F40" s="1">
        <v>6.78</v>
      </c>
      <c r="G40" s="1">
        <v>1.879683529</v>
      </c>
      <c r="H40" s="1">
        <v>0.58028577599999998</v>
      </c>
      <c r="I40" s="1">
        <v>137.99151180000001</v>
      </c>
      <c r="K40" s="1" t="s">
        <v>81</v>
      </c>
      <c r="L40" s="1" t="s">
        <v>82</v>
      </c>
    </row>
    <row r="41" spans="1:12" x14ac:dyDescent="0.3">
      <c r="A41" s="1">
        <v>5</v>
      </c>
      <c r="B41" s="1">
        <v>65</v>
      </c>
      <c r="C41" s="1">
        <v>1</v>
      </c>
      <c r="D41" s="1">
        <v>9.9</v>
      </c>
      <c r="E41" s="1">
        <v>1</v>
      </c>
      <c r="F41" s="1">
        <v>6.78</v>
      </c>
      <c r="G41" s="1">
        <v>2.682374093</v>
      </c>
      <c r="H41" s="1">
        <v>0.92146893200000002</v>
      </c>
      <c r="I41" s="1">
        <v>124.0075739</v>
      </c>
      <c r="K41" s="1" t="s">
        <v>33</v>
      </c>
      <c r="L41" s="1" t="s">
        <v>32</v>
      </c>
    </row>
    <row r="42" spans="1:12" x14ac:dyDescent="0.3">
      <c r="A42" s="1">
        <v>5</v>
      </c>
      <c r="B42" s="1">
        <v>70</v>
      </c>
      <c r="C42" s="1">
        <v>0.4</v>
      </c>
      <c r="D42" s="1">
        <v>49.9</v>
      </c>
      <c r="E42" s="1">
        <v>0.4</v>
      </c>
      <c r="F42" s="1">
        <v>6.78</v>
      </c>
      <c r="G42" s="1">
        <v>4.3102209250000003</v>
      </c>
      <c r="H42" s="1">
        <v>2.3026982290000002</v>
      </c>
      <c r="I42" s="1">
        <v>79.739235260000001</v>
      </c>
      <c r="K42" s="1" t="s">
        <v>71</v>
      </c>
      <c r="L42" s="1">
        <v>2.2783000000000002</v>
      </c>
    </row>
    <row r="43" spans="1:12" x14ac:dyDescent="0.3">
      <c r="A43" s="1">
        <v>5</v>
      </c>
      <c r="B43" s="1">
        <v>75</v>
      </c>
      <c r="C43" s="1">
        <v>0.8</v>
      </c>
      <c r="D43" s="1">
        <v>49.9</v>
      </c>
      <c r="E43" s="1">
        <v>1</v>
      </c>
      <c r="F43" s="1">
        <v>6.78</v>
      </c>
      <c r="G43" s="1">
        <v>3.3586370140000001</v>
      </c>
      <c r="H43" s="1">
        <v>1.1302601029999999</v>
      </c>
      <c r="I43" s="1">
        <v>126.58849429999999</v>
      </c>
      <c r="K43" s="1" t="s">
        <v>59</v>
      </c>
      <c r="L43" s="1">
        <v>1.0051000000000001</v>
      </c>
    </row>
    <row r="44" spans="1:12" x14ac:dyDescent="0.3">
      <c r="A44" s="1">
        <v>5</v>
      </c>
      <c r="B44" s="1">
        <v>80</v>
      </c>
      <c r="C44" s="1">
        <v>1</v>
      </c>
      <c r="D44" s="1">
        <v>89.9</v>
      </c>
      <c r="E44" s="1">
        <v>0.8</v>
      </c>
      <c r="F44" s="1">
        <v>6.78</v>
      </c>
      <c r="G44" s="1">
        <v>1.2524143860000001</v>
      </c>
      <c r="H44" s="1">
        <v>1.782394566</v>
      </c>
      <c r="I44" s="1">
        <v>29.933242230000001</v>
      </c>
      <c r="K44" s="1" t="s">
        <v>56</v>
      </c>
      <c r="L44" s="1">
        <v>1.105</v>
      </c>
    </row>
    <row r="45" spans="1:12" x14ac:dyDescent="0.3">
      <c r="A45" s="1">
        <v>6</v>
      </c>
      <c r="B45" s="1">
        <v>50</v>
      </c>
      <c r="C45" s="1">
        <v>0.4</v>
      </c>
      <c r="D45" s="1">
        <v>29.9</v>
      </c>
      <c r="E45" s="1">
        <v>0.6</v>
      </c>
      <c r="F45" s="1">
        <v>6.78</v>
      </c>
      <c r="G45" s="1">
        <v>3.2376657541121001</v>
      </c>
      <c r="H45" s="1">
        <v>1.4939310061522799</v>
      </c>
      <c r="I45" s="1">
        <v>92.323239055549806</v>
      </c>
      <c r="K45" s="1" t="s">
        <v>37</v>
      </c>
      <c r="L45" s="1">
        <v>1.5874999999999999</v>
      </c>
    </row>
    <row r="46" spans="1:12" x14ac:dyDescent="0.3">
      <c r="A46" s="1">
        <v>6</v>
      </c>
      <c r="B46" s="1">
        <v>50</v>
      </c>
      <c r="C46" s="1">
        <v>0.4</v>
      </c>
      <c r="D46" s="1">
        <v>89.9</v>
      </c>
      <c r="E46" s="1">
        <v>0.6</v>
      </c>
      <c r="F46" s="1">
        <v>6.78</v>
      </c>
      <c r="G46" s="1">
        <v>2.7807674889379199</v>
      </c>
      <c r="H46" s="1">
        <v>1.47304764213508</v>
      </c>
      <c r="I46" s="1">
        <v>80.418773691611193</v>
      </c>
      <c r="K46" s="1" t="s">
        <v>58</v>
      </c>
      <c r="L46" s="1">
        <v>1.3089</v>
      </c>
    </row>
    <row r="47" spans="1:12" ht="15" customHeight="1" x14ac:dyDescent="0.3">
      <c r="A47" s="1">
        <v>6</v>
      </c>
      <c r="B47" s="1">
        <v>50</v>
      </c>
      <c r="C47" s="1">
        <v>0.4</v>
      </c>
      <c r="D47" s="1">
        <v>89.9</v>
      </c>
      <c r="E47" s="1">
        <v>0.8</v>
      </c>
      <c r="F47" s="1">
        <v>6.78</v>
      </c>
      <c r="G47" s="1">
        <v>2.53241125618172</v>
      </c>
      <c r="H47" s="1">
        <v>1.48300191773088</v>
      </c>
      <c r="I47" s="1">
        <v>72.744821879839904</v>
      </c>
      <c r="K47" s="1" t="s">
        <v>38</v>
      </c>
      <c r="L47" s="1">
        <v>1.1476999999999999</v>
      </c>
    </row>
    <row r="48" spans="1:12" x14ac:dyDescent="0.3">
      <c r="A48" s="1">
        <v>6</v>
      </c>
      <c r="B48" s="1">
        <v>60</v>
      </c>
      <c r="C48" s="1">
        <v>0.4</v>
      </c>
      <c r="D48" s="1">
        <v>9.9</v>
      </c>
      <c r="E48" s="1">
        <v>0.4</v>
      </c>
      <c r="F48" s="1">
        <v>6.78</v>
      </c>
      <c r="G48" s="1">
        <v>5.3885781262674399</v>
      </c>
      <c r="H48" s="1">
        <v>3.2962784551161501</v>
      </c>
      <c r="I48" s="1">
        <v>69.640175067879696</v>
      </c>
      <c r="K48" s="1" t="s">
        <v>39</v>
      </c>
      <c r="L48" s="1">
        <v>3.1934</v>
      </c>
    </row>
    <row r="49" spans="1:12" x14ac:dyDescent="0.3">
      <c r="A49" s="1">
        <v>6</v>
      </c>
      <c r="B49" s="1">
        <v>65</v>
      </c>
      <c r="C49" s="1">
        <v>1.2</v>
      </c>
      <c r="D49" s="1">
        <v>49.9</v>
      </c>
      <c r="E49" s="1">
        <v>1</v>
      </c>
      <c r="F49" s="1">
        <v>6.78</v>
      </c>
      <c r="G49" s="1">
        <v>2.9712475703487198</v>
      </c>
      <c r="H49" s="1">
        <v>0.95500345718013102</v>
      </c>
      <c r="I49" s="1">
        <v>132.53892935910099</v>
      </c>
      <c r="K49" s="1" t="s">
        <v>72</v>
      </c>
      <c r="L49" s="1" t="s">
        <v>73</v>
      </c>
    </row>
    <row r="50" spans="1:12" x14ac:dyDescent="0.3">
      <c r="A50" s="1">
        <v>6</v>
      </c>
      <c r="B50" s="1">
        <v>70</v>
      </c>
      <c r="C50" s="1">
        <v>0.6</v>
      </c>
      <c r="D50" s="1">
        <v>9.9</v>
      </c>
      <c r="E50" s="1">
        <v>0.6</v>
      </c>
      <c r="F50" s="1">
        <v>6.78</v>
      </c>
      <c r="G50" s="1">
        <v>5.9225877249741297</v>
      </c>
      <c r="H50" s="1">
        <v>3.1760330185718901</v>
      </c>
      <c r="I50" s="1">
        <v>79.439418351335803</v>
      </c>
      <c r="K50" s="1" t="s">
        <v>31</v>
      </c>
      <c r="L50" s="1">
        <v>3.0428999999999999</v>
      </c>
    </row>
    <row r="51" spans="1:12" x14ac:dyDescent="0.3">
      <c r="A51" s="1">
        <v>6</v>
      </c>
      <c r="B51" s="1">
        <v>70</v>
      </c>
      <c r="C51" s="1">
        <v>0.4</v>
      </c>
      <c r="D51" s="1">
        <v>49.9</v>
      </c>
      <c r="E51" s="1">
        <v>0.4</v>
      </c>
      <c r="F51" s="1">
        <v>6.78</v>
      </c>
      <c r="G51" s="1">
        <v>6.5845068548894696</v>
      </c>
      <c r="H51" s="1">
        <v>4.2136468193349801</v>
      </c>
      <c r="I51" s="1">
        <v>66.569406556071399</v>
      </c>
      <c r="K51" s="1" t="s">
        <v>57</v>
      </c>
      <c r="L51" s="1">
        <v>4.2210999999999999</v>
      </c>
    </row>
    <row r="52" spans="1:12" x14ac:dyDescent="0.3">
      <c r="A52" s="1">
        <v>7</v>
      </c>
      <c r="B52" s="1">
        <v>45</v>
      </c>
      <c r="C52" s="1">
        <v>1</v>
      </c>
      <c r="D52" s="1">
        <v>69.900000000000006</v>
      </c>
      <c r="E52" s="1">
        <v>1</v>
      </c>
      <c r="F52" s="1">
        <v>6.78</v>
      </c>
      <c r="G52" s="1">
        <v>1.69672084667797</v>
      </c>
      <c r="H52" s="1">
        <v>0.63351696028414195</v>
      </c>
      <c r="I52" s="1">
        <v>114.093712500572</v>
      </c>
      <c r="K52" s="1" t="s">
        <v>35</v>
      </c>
      <c r="L52" s="1" t="s">
        <v>36</v>
      </c>
    </row>
    <row r="53" spans="1:12" x14ac:dyDescent="0.3">
      <c r="A53" s="1">
        <v>7</v>
      </c>
      <c r="B53" s="1">
        <v>50</v>
      </c>
      <c r="C53" s="1">
        <v>0.8</v>
      </c>
      <c r="D53" s="1">
        <v>89.9</v>
      </c>
      <c r="E53" s="1">
        <v>1.2</v>
      </c>
      <c r="F53" s="1">
        <v>6.78</v>
      </c>
      <c r="G53" s="1">
        <v>2.0876896029905501</v>
      </c>
      <c r="H53" s="1">
        <v>0.79198719831059505</v>
      </c>
      <c r="I53" s="1">
        <v>112.294200872516</v>
      </c>
      <c r="K53" s="1" t="s">
        <v>65</v>
      </c>
      <c r="L53" s="1" t="s">
        <v>66</v>
      </c>
    </row>
    <row r="54" spans="1:12" x14ac:dyDescent="0.3">
      <c r="A54" s="1">
        <v>7</v>
      </c>
      <c r="B54" s="1">
        <v>55</v>
      </c>
      <c r="C54" s="1">
        <v>1.2</v>
      </c>
      <c r="D54" s="1">
        <v>9.9</v>
      </c>
      <c r="E54" s="1">
        <v>0.8</v>
      </c>
      <c r="F54" s="1">
        <v>6.78</v>
      </c>
      <c r="G54" s="1">
        <v>3.0381115043517499</v>
      </c>
      <c r="H54" s="1">
        <v>1.7040103415072201</v>
      </c>
      <c r="I54" s="1">
        <v>75.952320207798294</v>
      </c>
      <c r="K54" s="1" t="s">
        <v>34</v>
      </c>
      <c r="L54" s="1">
        <v>1.0865</v>
      </c>
    </row>
    <row r="55" spans="1:12" x14ac:dyDescent="0.3">
      <c r="A55" s="1">
        <v>7</v>
      </c>
      <c r="B55" s="1">
        <v>55</v>
      </c>
      <c r="C55" s="1">
        <v>1.2</v>
      </c>
      <c r="D55" s="1">
        <v>9.9</v>
      </c>
      <c r="E55" s="1">
        <v>1</v>
      </c>
      <c r="F55" s="1">
        <v>6.78</v>
      </c>
      <c r="G55" s="1">
        <v>2.73509094999753</v>
      </c>
      <c r="H55" s="1">
        <v>1.0074069773868899</v>
      </c>
      <c r="I55" s="1">
        <v>115.658187000467</v>
      </c>
      <c r="K55" s="1" t="s">
        <v>60</v>
      </c>
      <c r="L55" s="1">
        <v>1.0416000000000001</v>
      </c>
    </row>
    <row r="56" spans="1:12" x14ac:dyDescent="0.3">
      <c r="A56" s="1">
        <v>7</v>
      </c>
      <c r="B56" s="1">
        <v>70</v>
      </c>
      <c r="C56" s="1">
        <v>0.8</v>
      </c>
      <c r="D56" s="1">
        <v>69.900000000000006</v>
      </c>
      <c r="E56" s="1">
        <v>0.6</v>
      </c>
      <c r="F56" s="1">
        <v>6.78</v>
      </c>
      <c r="G56" s="1">
        <v>6.1258041495045497</v>
      </c>
      <c r="H56" s="1">
        <v>3.1521430739765401</v>
      </c>
      <c r="I56" s="1">
        <v>82.787877480661393</v>
      </c>
      <c r="K56" s="1" t="s">
        <v>74</v>
      </c>
      <c r="L56" s="1">
        <v>3.1206999999999998</v>
      </c>
    </row>
    <row r="57" spans="1:12" x14ac:dyDescent="0.3">
      <c r="A57" s="1">
        <v>7</v>
      </c>
      <c r="B57" s="1">
        <v>80</v>
      </c>
      <c r="C57" s="1">
        <v>1</v>
      </c>
      <c r="D57" s="1">
        <v>49.9</v>
      </c>
      <c r="E57" s="1">
        <v>1</v>
      </c>
      <c r="F57" s="1">
        <v>6.78</v>
      </c>
      <c r="G57" s="1">
        <v>6.5432734498036504</v>
      </c>
      <c r="H57" s="1">
        <v>2.8876869927254898</v>
      </c>
      <c r="I57" s="1">
        <v>96.528268470475297</v>
      </c>
      <c r="K57" s="1" t="s">
        <v>55</v>
      </c>
      <c r="L57" s="1">
        <v>2.9068999999999998</v>
      </c>
    </row>
  </sheetData>
  <phoneticPr fontId="18" type="noConversion"/>
  <conditionalFormatting sqref="A45:I51 L50:L51 L45:L48">
    <cfRule type="expression" dxfId="1" priority="21">
      <formula>#REF!*0.9&gt;$H45</formula>
    </cfRule>
    <cfRule type="expression" dxfId="0" priority="22">
      <formula>#REF!*1.05&lt;$G45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仿真数据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2026-03-20T02:28:55Z</dcterms:created>
  <dcterms:modified xsi:type="dcterms:W3CDTF">2026-04-01T06:21:38Z</dcterms:modified>
</cp:coreProperties>
</file>