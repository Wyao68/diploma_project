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86153\Desktop\diploma_project\"/>
    </mc:Choice>
  </mc:AlternateContent>
  <xr:revisionPtr revIDLastSave="0" documentId="11_4995F8DE1743DA82B86ED5505665B8B14E944330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仿真数据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B51" i="1" l="1"/>
  <c r="AA51" i="1"/>
  <c r="T51" i="1"/>
  <c r="AB49" i="1"/>
  <c r="AA49" i="1"/>
  <c r="Y49" i="1"/>
  <c r="U49" i="1"/>
  <c r="T49" i="1"/>
  <c r="R49" i="1"/>
  <c r="F49" i="1"/>
  <c r="AB48" i="1"/>
  <c r="AA48" i="1"/>
  <c r="Y48" i="1"/>
  <c r="U48" i="1"/>
  <c r="T48" i="1"/>
  <c r="R48" i="1"/>
  <c r="F48" i="1"/>
  <c r="AB47" i="1"/>
  <c r="AA47" i="1"/>
  <c r="Y47" i="1"/>
  <c r="U47" i="1"/>
  <c r="T47" i="1"/>
  <c r="R47" i="1"/>
  <c r="F47" i="1"/>
  <c r="G47" i="1" s="1"/>
  <c r="AB46" i="1"/>
  <c r="AA46" i="1"/>
  <c r="Y46" i="1"/>
  <c r="U46" i="1"/>
  <c r="T46" i="1"/>
  <c r="R46" i="1"/>
  <c r="F46" i="1"/>
  <c r="AB45" i="1"/>
  <c r="AA45" i="1"/>
  <c r="Y45" i="1"/>
  <c r="U45" i="1"/>
  <c r="T45" i="1"/>
  <c r="R45" i="1"/>
  <c r="I45" i="1"/>
  <c r="H45" i="1"/>
  <c r="G45" i="1"/>
  <c r="F45" i="1"/>
  <c r="AB44" i="1"/>
  <c r="AA44" i="1"/>
  <c r="Y44" i="1"/>
  <c r="U44" i="1"/>
  <c r="T44" i="1"/>
  <c r="R44" i="1"/>
  <c r="F44" i="1"/>
  <c r="AB43" i="1"/>
  <c r="AA43" i="1"/>
  <c r="Y43" i="1"/>
  <c r="U43" i="1"/>
  <c r="T43" i="1"/>
  <c r="R43" i="1"/>
  <c r="F43" i="1"/>
  <c r="G43" i="1" s="1"/>
  <c r="AB42" i="1"/>
  <c r="AA42" i="1"/>
  <c r="Y42" i="1"/>
  <c r="U42" i="1"/>
  <c r="T42" i="1"/>
  <c r="R42" i="1"/>
  <c r="F42" i="1"/>
  <c r="AB41" i="1"/>
  <c r="AA41" i="1"/>
  <c r="Y41" i="1"/>
  <c r="U41" i="1"/>
  <c r="T41" i="1"/>
  <c r="R41" i="1"/>
  <c r="F41" i="1"/>
  <c r="AB40" i="1"/>
  <c r="AA40" i="1"/>
  <c r="Y40" i="1"/>
  <c r="U40" i="1"/>
  <c r="T40" i="1"/>
  <c r="R40" i="1"/>
  <c r="F40" i="1"/>
  <c r="AB39" i="1"/>
  <c r="AA39" i="1"/>
  <c r="Y39" i="1"/>
  <c r="U39" i="1"/>
  <c r="T39" i="1"/>
  <c r="R39" i="1"/>
  <c r="F39" i="1"/>
  <c r="G39" i="1" s="1"/>
  <c r="AB38" i="1"/>
  <c r="AA38" i="1"/>
  <c r="Y38" i="1"/>
  <c r="U38" i="1"/>
  <c r="T38" i="1"/>
  <c r="R38" i="1"/>
  <c r="F38" i="1"/>
  <c r="AB37" i="1"/>
  <c r="AA37" i="1"/>
  <c r="Y37" i="1"/>
  <c r="U37" i="1"/>
  <c r="T37" i="1"/>
  <c r="R37" i="1"/>
  <c r="I37" i="1"/>
  <c r="H37" i="1"/>
  <c r="G37" i="1"/>
  <c r="F37" i="1"/>
  <c r="AB36" i="1"/>
  <c r="AA36" i="1"/>
  <c r="Y36" i="1"/>
  <c r="U36" i="1"/>
  <c r="T36" i="1"/>
  <c r="R36" i="1"/>
  <c r="F36" i="1"/>
  <c r="AB35" i="1"/>
  <c r="AA35" i="1"/>
  <c r="Y35" i="1"/>
  <c r="U35" i="1"/>
  <c r="T35" i="1"/>
  <c r="R35" i="1"/>
  <c r="F35" i="1"/>
  <c r="G35" i="1" s="1"/>
  <c r="AB34" i="1"/>
  <c r="AA34" i="1"/>
  <c r="Y34" i="1"/>
  <c r="U34" i="1"/>
  <c r="T34" i="1"/>
  <c r="R34" i="1"/>
  <c r="F34" i="1"/>
  <c r="AB33" i="1"/>
  <c r="AA33" i="1"/>
  <c r="Y33" i="1"/>
  <c r="U33" i="1"/>
  <c r="T33" i="1"/>
  <c r="R33" i="1"/>
  <c r="F33" i="1"/>
  <c r="AB32" i="1"/>
  <c r="AA32" i="1"/>
  <c r="Y32" i="1"/>
  <c r="U32" i="1"/>
  <c r="T32" i="1"/>
  <c r="R32" i="1"/>
  <c r="F32" i="1"/>
  <c r="AB31" i="1"/>
  <c r="AA31" i="1"/>
  <c r="Y31" i="1"/>
  <c r="U31" i="1"/>
  <c r="T31" i="1"/>
  <c r="R31" i="1"/>
  <c r="F31" i="1"/>
  <c r="AB30" i="1"/>
  <c r="AA30" i="1"/>
  <c r="Y30" i="1"/>
  <c r="U30" i="1"/>
  <c r="T30" i="1"/>
  <c r="R30" i="1"/>
  <c r="F30" i="1"/>
  <c r="AB29" i="1"/>
  <c r="AA29" i="1"/>
  <c r="Y29" i="1"/>
  <c r="U29" i="1"/>
  <c r="T29" i="1"/>
  <c r="R29" i="1"/>
  <c r="I29" i="1"/>
  <c r="H29" i="1"/>
  <c r="G29" i="1"/>
  <c r="F29" i="1"/>
  <c r="AB28" i="1"/>
  <c r="AA28" i="1"/>
  <c r="Y28" i="1"/>
  <c r="U28" i="1"/>
  <c r="T28" i="1"/>
  <c r="R28" i="1"/>
  <c r="F28" i="1"/>
  <c r="AB27" i="1"/>
  <c r="AA27" i="1"/>
  <c r="Y27" i="1"/>
  <c r="U27" i="1"/>
  <c r="T27" i="1"/>
  <c r="R27" i="1"/>
  <c r="F27" i="1"/>
  <c r="G27" i="1" s="1"/>
  <c r="AB26" i="1"/>
  <c r="AA26" i="1"/>
  <c r="Y26" i="1"/>
  <c r="U26" i="1"/>
  <c r="T26" i="1"/>
  <c r="R26" i="1"/>
  <c r="F26" i="1"/>
  <c r="G26" i="1" s="1"/>
  <c r="AB25" i="1"/>
  <c r="AA25" i="1"/>
  <c r="Y25" i="1"/>
  <c r="U25" i="1"/>
  <c r="T25" i="1"/>
  <c r="R25" i="1"/>
  <c r="F25" i="1"/>
  <c r="AB24" i="1"/>
  <c r="AA24" i="1"/>
  <c r="Y24" i="1"/>
  <c r="U24" i="1"/>
  <c r="T24" i="1"/>
  <c r="R24" i="1"/>
  <c r="F24" i="1"/>
  <c r="AB23" i="1"/>
  <c r="AA23" i="1"/>
  <c r="Y23" i="1"/>
  <c r="U23" i="1"/>
  <c r="T23" i="1"/>
  <c r="R23" i="1"/>
  <c r="F23" i="1"/>
  <c r="G23" i="1" s="1"/>
  <c r="AB22" i="1"/>
  <c r="AA22" i="1"/>
  <c r="Y22" i="1"/>
  <c r="U22" i="1"/>
  <c r="T22" i="1"/>
  <c r="R22" i="1"/>
  <c r="F22" i="1"/>
  <c r="AB21" i="1"/>
  <c r="AA21" i="1"/>
  <c r="Y21" i="1"/>
  <c r="U21" i="1"/>
  <c r="T21" i="1"/>
  <c r="R21" i="1"/>
  <c r="I21" i="1"/>
  <c r="H21" i="1"/>
  <c r="G21" i="1"/>
  <c r="F21" i="1"/>
  <c r="AB20" i="1"/>
  <c r="AA20" i="1"/>
  <c r="Y20" i="1"/>
  <c r="U20" i="1"/>
  <c r="T20" i="1"/>
  <c r="R20" i="1"/>
  <c r="F20" i="1"/>
  <c r="AB19" i="1"/>
  <c r="AA19" i="1"/>
  <c r="Y19" i="1"/>
  <c r="U19" i="1"/>
  <c r="T19" i="1"/>
  <c r="R19" i="1"/>
  <c r="F19" i="1"/>
  <c r="G19" i="1" s="1"/>
  <c r="AB18" i="1"/>
  <c r="AA18" i="1"/>
  <c r="Y18" i="1"/>
  <c r="U18" i="1"/>
  <c r="T18" i="1"/>
  <c r="R18" i="1"/>
  <c r="F18" i="1"/>
  <c r="AB17" i="1"/>
  <c r="AA17" i="1"/>
  <c r="Y17" i="1"/>
  <c r="U17" i="1"/>
  <c r="T17" i="1"/>
  <c r="R17" i="1"/>
  <c r="F17" i="1"/>
  <c r="AB16" i="1"/>
  <c r="AA16" i="1"/>
  <c r="Y16" i="1"/>
  <c r="U16" i="1"/>
  <c r="T16" i="1"/>
  <c r="R16" i="1"/>
  <c r="F16" i="1"/>
  <c r="AB15" i="1"/>
  <c r="AA15" i="1"/>
  <c r="Y15" i="1"/>
  <c r="U15" i="1"/>
  <c r="T15" i="1"/>
  <c r="R15" i="1"/>
  <c r="F15" i="1"/>
  <c r="G15" i="1" s="1"/>
  <c r="AB14" i="1"/>
  <c r="AA14" i="1"/>
  <c r="Y14" i="1"/>
  <c r="U14" i="1"/>
  <c r="T14" i="1"/>
  <c r="R14" i="1"/>
  <c r="F14" i="1"/>
  <c r="AB13" i="1"/>
  <c r="AA13" i="1"/>
  <c r="Y13" i="1"/>
  <c r="U13" i="1"/>
  <c r="T13" i="1"/>
  <c r="R13" i="1"/>
  <c r="I13" i="1"/>
  <c r="H13" i="1"/>
  <c r="G13" i="1"/>
  <c r="F13" i="1"/>
  <c r="AB12" i="1"/>
  <c r="AA12" i="1"/>
  <c r="Y12" i="1"/>
  <c r="U12" i="1"/>
  <c r="T12" i="1"/>
  <c r="R12" i="1"/>
  <c r="F12" i="1"/>
  <c r="AB11" i="1"/>
  <c r="AA11" i="1"/>
  <c r="Y11" i="1"/>
  <c r="U11" i="1"/>
  <c r="T11" i="1"/>
  <c r="R11" i="1"/>
  <c r="F11" i="1"/>
  <c r="G11" i="1" s="1"/>
  <c r="AB10" i="1"/>
  <c r="AA10" i="1"/>
  <c r="Y10" i="1"/>
  <c r="U10" i="1"/>
  <c r="T10" i="1"/>
  <c r="R10" i="1"/>
  <c r="F10" i="1"/>
  <c r="G10" i="1" s="1"/>
  <c r="AB9" i="1"/>
  <c r="AA9" i="1"/>
  <c r="Y9" i="1"/>
  <c r="U9" i="1"/>
  <c r="T9" i="1"/>
  <c r="R9" i="1"/>
  <c r="F9" i="1"/>
  <c r="AB8" i="1"/>
  <c r="AA8" i="1"/>
  <c r="Y8" i="1"/>
  <c r="U8" i="1"/>
  <c r="T8" i="1"/>
  <c r="R8" i="1"/>
  <c r="F8" i="1"/>
  <c r="G8" i="1" s="1"/>
  <c r="AB7" i="1"/>
  <c r="AA7" i="1"/>
  <c r="Y7" i="1"/>
  <c r="U7" i="1"/>
  <c r="T7" i="1"/>
  <c r="R7" i="1"/>
  <c r="F7" i="1"/>
  <c r="G7" i="1" s="1"/>
  <c r="AB6" i="1"/>
  <c r="AA6" i="1"/>
  <c r="Y6" i="1"/>
  <c r="U6" i="1"/>
  <c r="T6" i="1"/>
  <c r="R6" i="1"/>
  <c r="F6" i="1"/>
  <c r="AB5" i="1"/>
  <c r="AA5" i="1"/>
  <c r="Y5" i="1"/>
  <c r="U5" i="1"/>
  <c r="T5" i="1"/>
  <c r="R5" i="1"/>
  <c r="I5" i="1"/>
  <c r="H5" i="1"/>
  <c r="G5" i="1"/>
  <c r="F5" i="1"/>
  <c r="AB4" i="1"/>
  <c r="AA4" i="1"/>
  <c r="Y4" i="1"/>
  <c r="U4" i="1"/>
  <c r="T4" i="1"/>
  <c r="R4" i="1"/>
  <c r="F4" i="1"/>
  <c r="AB3" i="1"/>
  <c r="AA3" i="1"/>
  <c r="Y3" i="1"/>
  <c r="U3" i="1"/>
  <c r="U51" i="1" s="1"/>
  <c r="T3" i="1"/>
  <c r="R3" i="1"/>
  <c r="F3" i="1"/>
  <c r="G3" i="1" s="1"/>
  <c r="I27" i="1" l="1"/>
  <c r="H27" i="1"/>
  <c r="H40" i="1"/>
  <c r="I25" i="1"/>
  <c r="I36" i="1"/>
  <c r="I38" i="1"/>
  <c r="I49" i="1"/>
  <c r="I33" i="1"/>
  <c r="I31" i="1"/>
  <c r="I8" i="1"/>
  <c r="H8" i="1"/>
  <c r="I19" i="1"/>
  <c r="H19" i="1"/>
  <c r="I43" i="1"/>
  <c r="H43" i="1"/>
  <c r="I46" i="1"/>
  <c r="I17" i="1"/>
  <c r="I28" i="1"/>
  <c r="I30" i="1"/>
  <c r="I41" i="1"/>
  <c r="I11" i="1"/>
  <c r="H11" i="1"/>
  <c r="I3" i="1"/>
  <c r="H3" i="1"/>
  <c r="I35" i="1"/>
  <c r="H35" i="1"/>
  <c r="I20" i="1"/>
  <c r="I48" i="1"/>
  <c r="G31" i="1"/>
  <c r="H31" i="1"/>
  <c r="H39" i="1"/>
  <c r="H47" i="1"/>
  <c r="H7" i="1"/>
  <c r="H15" i="1"/>
  <c r="H23" i="1"/>
  <c r="G4" i="1"/>
  <c r="H4" i="1" s="1"/>
  <c r="I7" i="1"/>
  <c r="G12" i="1"/>
  <c r="H12" i="1" s="1"/>
  <c r="I15" i="1"/>
  <c r="G20" i="1"/>
  <c r="H20" i="1" s="1"/>
  <c r="I23" i="1"/>
  <c r="G28" i="1"/>
  <c r="H28" i="1" s="1"/>
  <c r="G36" i="1"/>
  <c r="H36" i="1" s="1"/>
  <c r="I39" i="1"/>
  <c r="G44" i="1"/>
  <c r="H44" i="1" s="1"/>
  <c r="I47" i="1"/>
  <c r="G18" i="1"/>
  <c r="H18" i="1" s="1"/>
  <c r="I10" i="1"/>
  <c r="G34" i="1"/>
  <c r="H34" i="1" s="1"/>
  <c r="G9" i="1"/>
  <c r="H9" i="1" s="1"/>
  <c r="G17" i="1"/>
  <c r="G25" i="1"/>
  <c r="G33" i="1"/>
  <c r="G41" i="1"/>
  <c r="G49" i="1"/>
  <c r="H17" i="1"/>
  <c r="H25" i="1"/>
  <c r="H33" i="1"/>
  <c r="H41" i="1"/>
  <c r="H49" i="1"/>
  <c r="H26" i="1"/>
  <c r="I26" i="1"/>
  <c r="G6" i="1"/>
  <c r="I6" i="1" s="1"/>
  <c r="G14" i="1"/>
  <c r="H14" i="1" s="1"/>
  <c r="G22" i="1"/>
  <c r="H22" i="1" s="1"/>
  <c r="G30" i="1"/>
  <c r="G38" i="1"/>
  <c r="G46" i="1"/>
  <c r="H10" i="1"/>
  <c r="H30" i="1"/>
  <c r="H38" i="1"/>
  <c r="H46" i="1"/>
  <c r="G42" i="1"/>
  <c r="H42" i="1" s="1"/>
  <c r="G16" i="1"/>
  <c r="I16" i="1" s="1"/>
  <c r="G24" i="1"/>
  <c r="I24" i="1" s="1"/>
  <c r="G32" i="1"/>
  <c r="I32" i="1" s="1"/>
  <c r="G40" i="1"/>
  <c r="I40" i="1" s="1"/>
  <c r="G48" i="1"/>
  <c r="H48" i="1" s="1"/>
  <c r="I44" i="1" l="1"/>
  <c r="I42" i="1"/>
  <c r="I14" i="1"/>
  <c r="I9" i="1"/>
  <c r="H32" i="1"/>
  <c r="I12" i="1"/>
  <c r="I18" i="1"/>
  <c r="I4" i="1"/>
  <c r="I34" i="1"/>
  <c r="H24" i="1"/>
  <c r="I22" i="1"/>
  <c r="H6" i="1"/>
  <c r="H16" i="1"/>
</calcChain>
</file>

<file path=xl/sharedStrings.xml><?xml version="1.0" encoding="utf-8"?>
<sst xmlns="http://schemas.openxmlformats.org/spreadsheetml/2006/main" count="32" uniqueCount="24">
  <si>
    <t>仿真值</t>
  </si>
  <si>
    <t>实测值</t>
  </si>
  <si>
    <t>仿真值与实测值的相对误差</t>
  </si>
  <si>
    <t>模型预测值</t>
  </si>
  <si>
    <t>模型预测值与实测值的相对误差</t>
  </si>
  <si>
    <t>N</t>
  </si>
  <si>
    <t>a [mm]</t>
  </si>
  <si>
    <t>d [mm]</t>
  </si>
  <si>
    <t>my_theta [deg]</t>
  </si>
  <si>
    <t>p [mm]</t>
  </si>
  <si>
    <t>d_out [mm]</t>
  </si>
  <si>
    <t>d_in [mm]</t>
  </si>
  <si>
    <t>L_dc [uH]</t>
  </si>
  <si>
    <t>R_dc [Ω]</t>
  </si>
  <si>
    <t>Freq [MHz]</t>
  </si>
  <si>
    <t>L [uH]</t>
  </si>
  <si>
    <t>R [Ω]</t>
  </si>
  <si>
    <t>Q</t>
  </si>
  <si>
    <t>L[uH]</t>
  </si>
  <si>
    <t>R[Ω]</t>
  </si>
  <si>
    <t>电感相对误差%</t>
  </si>
  <si>
    <t>电阻相对误差%</t>
  </si>
  <si>
    <t>电感平均相对误差%</t>
  </si>
  <si>
    <t>电阻平均相对误差%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</si>
</sst>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_ "/>
  </numFmts>
  <fonts count="2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3">
    <xf numFmtId="0" fontId="0" fillId="0" borderId="0" xfId="0">
      <alignment vertical="center"/>
    </xf>
    <xf numFmtId="0" fontId="0" fillId="0" borderId="0" xfId="0" applyAlignment="1"/>
    <xf numFmtId="176" fontId="0" fillId="0" borderId="0" xfId="0" applyNumberFormat="1">
      <alignment vertical="center"/>
    </xf>
  </cellXfs>
  <cellStyles count="1">
    <cellStyle name="常规" xfId="0" builtinId="0"/>
  </cellStyles>
  <dxfs count="2">
    <dxf>
      <fill>
        <patternFill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51"/>
  <sheetViews>
    <sheetView tabSelected="1" topLeftCell="G1" zoomScaleNormal="100" workbookViewId="0">
      <selection activeCell="I34" sqref="I34"/>
    </sheetView>
  </sheetViews>
  <sheetFormatPr defaultColWidth="8.625" defaultRowHeight="14.25" x14ac:dyDescent="0.2"/>
  <cols>
    <col min="20" max="20" width="17.875" style="1" customWidth="1"/>
    <col min="21" max="21" width="18" style="1" customWidth="1"/>
    <col min="23" max="23" width="10.625" style="1" customWidth="1"/>
    <col min="27" max="27" width="16.375" style="1" customWidth="1"/>
    <col min="28" max="28" width="17" style="1" customWidth="1"/>
  </cols>
  <sheetData>
    <row r="1" spans="1:28" x14ac:dyDescent="0.2">
      <c r="A1" t="s">
        <v>0</v>
      </c>
      <c r="P1" t="s">
        <v>1</v>
      </c>
      <c r="T1" t="s">
        <v>2</v>
      </c>
      <c r="W1" t="s">
        <v>3</v>
      </c>
      <c r="AA1" t="s">
        <v>4</v>
      </c>
    </row>
    <row r="2" spans="1:28" x14ac:dyDescent="0.2">
      <c r="A2" t="s">
        <v>5</v>
      </c>
      <c r="B2" t="s">
        <v>6</v>
      </c>
      <c r="C2" t="s">
        <v>7</v>
      </c>
      <c r="D2" t="s">
        <v>8</v>
      </c>
      <c r="E2" t="s">
        <v>9</v>
      </c>
      <c r="F2" t="s">
        <v>10</v>
      </c>
      <c r="G2" t="s">
        <v>11</v>
      </c>
      <c r="H2" t="s">
        <v>12</v>
      </c>
      <c r="I2" t="s">
        <v>13</v>
      </c>
      <c r="J2" t="s">
        <v>14</v>
      </c>
      <c r="L2" t="s">
        <v>15</v>
      </c>
      <c r="M2" t="s">
        <v>16</v>
      </c>
      <c r="N2" t="s">
        <v>17</v>
      </c>
      <c r="P2" t="s">
        <v>18</v>
      </c>
      <c r="Q2" t="s">
        <v>19</v>
      </c>
      <c r="R2" t="s">
        <v>17</v>
      </c>
      <c r="T2" t="s">
        <v>20</v>
      </c>
      <c r="U2" t="s">
        <v>21</v>
      </c>
      <c r="W2" t="s">
        <v>18</v>
      </c>
      <c r="X2" t="s">
        <v>19</v>
      </c>
      <c r="Y2" t="s">
        <v>17</v>
      </c>
      <c r="AA2" t="s">
        <v>20</v>
      </c>
      <c r="AB2" t="s">
        <v>21</v>
      </c>
    </row>
    <row r="3" spans="1:28" x14ac:dyDescent="0.2">
      <c r="A3">
        <v>2</v>
      </c>
      <c r="B3">
        <v>30</v>
      </c>
      <c r="C3">
        <v>1.8</v>
      </c>
      <c r="D3">
        <v>49.9</v>
      </c>
      <c r="E3">
        <v>0.4</v>
      </c>
      <c r="F3">
        <f t="shared" ref="F3:F49" si="0">B3</f>
        <v>30</v>
      </c>
      <c r="G3">
        <f t="shared" ref="G3:G49" si="1">F3-(A3-1)*2*(C3+E3)-2*C3</f>
        <v>22</v>
      </c>
      <c r="H3">
        <f t="shared" ref="H3:H49" si="2">2.34*0.000001257*(0.5*A3^2*(F3+G3))/(1+2.73*(F3-G3)/(F3+G3))*1000</f>
        <v>0.21542501408450704</v>
      </c>
      <c r="I3">
        <f t="shared" ref="I3:I49" si="3">0.0000000168*4*0.5*(F3+G3)/(0.00007*C3)</f>
        <v>1.3866666666666668E-2</v>
      </c>
      <c r="J3">
        <v>6.78</v>
      </c>
      <c r="L3">
        <v>1.8336879E-2</v>
      </c>
      <c r="M3">
        <v>8.8597703E-2</v>
      </c>
      <c r="N3">
        <v>8.8168313170000001</v>
      </c>
      <c r="P3">
        <v>0.17976</v>
      </c>
      <c r="Q3">
        <v>8.6578000000000002E-2</v>
      </c>
      <c r="R3">
        <f t="shared" ref="R3:R49" si="4">6780000*2*3.1415926*P3*0.000001/Q3</f>
        <v>88.449435412259007</v>
      </c>
      <c r="T3" s="2">
        <f t="shared" ref="T3:T49" si="5">ABS(L3-P3)/P3*100</f>
        <v>89.799243991989314</v>
      </c>
      <c r="U3" s="2">
        <f t="shared" ref="U3:U49" si="6">ABS(M3-Q3)/Q3*100</f>
        <v>2.3328131857977752</v>
      </c>
      <c r="W3">
        <v>0.24802376329898829</v>
      </c>
      <c r="X3">
        <v>0.1059732288122177</v>
      </c>
      <c r="Y3">
        <f t="shared" ref="Y3:Y49" si="7">6780000*2*3.1415926*W3*0.000001/X3</f>
        <v>99.702645258115766</v>
      </c>
      <c r="AA3" s="2">
        <f t="shared" ref="AA3:AA49" si="8">ABS(W3-P3)/P3*100</f>
        <v>37.974946205489701</v>
      </c>
      <c r="AB3" s="2">
        <f t="shared" ref="AB3:AB49" si="9">ABS(X3-Q3)/Q3*100</f>
        <v>22.402029167014366</v>
      </c>
    </row>
    <row r="4" spans="1:28" x14ac:dyDescent="0.2">
      <c r="A4">
        <v>2</v>
      </c>
      <c r="B4">
        <v>30</v>
      </c>
      <c r="C4">
        <v>0.8</v>
      </c>
      <c r="D4">
        <v>69.900000000000006</v>
      </c>
      <c r="E4">
        <v>0.8</v>
      </c>
      <c r="F4">
        <f t="shared" si="0"/>
        <v>30</v>
      </c>
      <c r="G4">
        <f t="shared" si="1"/>
        <v>25.2</v>
      </c>
      <c r="H4">
        <f t="shared" si="2"/>
        <v>0.26242979957835555</v>
      </c>
      <c r="I4">
        <f t="shared" si="3"/>
        <v>3.3120000000000004E-2</v>
      </c>
      <c r="J4">
        <v>6.78</v>
      </c>
      <c r="L4">
        <v>1.8447351000000001E-2</v>
      </c>
      <c r="M4">
        <v>0.14243311</v>
      </c>
      <c r="N4">
        <v>5.5173764810000003</v>
      </c>
      <c r="P4">
        <v>0.21931999999999999</v>
      </c>
      <c r="Q4">
        <v>0.13755999999999999</v>
      </c>
      <c r="R4">
        <f t="shared" si="4"/>
        <v>67.919679029324811</v>
      </c>
      <c r="T4" s="2">
        <f t="shared" si="5"/>
        <v>91.588842330840777</v>
      </c>
      <c r="U4" s="2">
        <f t="shared" si="6"/>
        <v>3.5425341669089958</v>
      </c>
      <c r="W4">
        <v>0.24802376329898829</v>
      </c>
      <c r="X4">
        <v>0.1059732288122177</v>
      </c>
      <c r="Y4">
        <f t="shared" si="7"/>
        <v>99.702645258115766</v>
      </c>
      <c r="AA4" s="2">
        <f t="shared" si="8"/>
        <v>13.087617772655619</v>
      </c>
      <c r="AB4" s="2">
        <f t="shared" si="9"/>
        <v>22.96217736826279</v>
      </c>
    </row>
    <row r="5" spans="1:28" x14ac:dyDescent="0.2">
      <c r="A5">
        <v>2</v>
      </c>
      <c r="B5">
        <v>35</v>
      </c>
      <c r="C5">
        <v>1</v>
      </c>
      <c r="D5">
        <v>89.9</v>
      </c>
      <c r="E5">
        <v>1.2</v>
      </c>
      <c r="F5">
        <f t="shared" si="0"/>
        <v>35</v>
      </c>
      <c r="G5">
        <f t="shared" si="1"/>
        <v>28.6</v>
      </c>
      <c r="H5">
        <f t="shared" si="2"/>
        <v>0.29351106287744227</v>
      </c>
      <c r="I5">
        <f t="shared" si="3"/>
        <v>3.0528000000000007E-2</v>
      </c>
      <c r="J5">
        <v>6.78</v>
      </c>
      <c r="L5">
        <v>0.20360604400000001</v>
      </c>
      <c r="M5">
        <v>0.10173750099999999</v>
      </c>
      <c r="N5">
        <v>85.254862779999996</v>
      </c>
      <c r="P5">
        <v>0.23283999999999999</v>
      </c>
      <c r="Q5">
        <v>0.12096999999999999</v>
      </c>
      <c r="R5">
        <f t="shared" si="4"/>
        <v>81.995395457907264</v>
      </c>
      <c r="T5" s="2">
        <f t="shared" si="5"/>
        <v>12.55538395464696</v>
      </c>
      <c r="U5" s="2">
        <f t="shared" si="6"/>
        <v>15.898569066710754</v>
      </c>
      <c r="W5">
        <v>0.24802376329898829</v>
      </c>
      <c r="X5">
        <v>0.1059732288122177</v>
      </c>
      <c r="Y5">
        <f t="shared" si="7"/>
        <v>99.702645258115766</v>
      </c>
      <c r="AA5" s="2">
        <f t="shared" si="8"/>
        <v>6.5211146276362726</v>
      </c>
      <c r="AB5" s="2">
        <f t="shared" si="9"/>
        <v>12.397099436043892</v>
      </c>
    </row>
    <row r="6" spans="1:28" x14ac:dyDescent="0.2">
      <c r="A6">
        <v>2</v>
      </c>
      <c r="B6">
        <v>40</v>
      </c>
      <c r="C6">
        <v>1.8</v>
      </c>
      <c r="D6">
        <v>69.900000000000006</v>
      </c>
      <c r="E6">
        <v>1.2</v>
      </c>
      <c r="F6">
        <f t="shared" si="0"/>
        <v>40</v>
      </c>
      <c r="G6">
        <f t="shared" si="1"/>
        <v>30.4</v>
      </c>
      <c r="H6">
        <f t="shared" si="2"/>
        <v>0.30179591546869822</v>
      </c>
      <c r="I6">
        <f t="shared" si="3"/>
        <v>1.8773333333333336E-2</v>
      </c>
      <c r="J6">
        <v>6.78</v>
      </c>
      <c r="L6">
        <v>0.22009542400000001</v>
      </c>
      <c r="M6">
        <v>8.1930591999999997E-2</v>
      </c>
      <c r="N6">
        <v>114.43911319999999</v>
      </c>
      <c r="P6">
        <v>0.24548</v>
      </c>
      <c r="Q6">
        <v>9.8413E-2</v>
      </c>
      <c r="R6">
        <f t="shared" si="4"/>
        <v>106.26082868762136</v>
      </c>
      <c r="T6" s="2">
        <f t="shared" si="5"/>
        <v>10.34079191787518</v>
      </c>
      <c r="U6" s="2">
        <f t="shared" si="6"/>
        <v>16.74820196518753</v>
      </c>
      <c r="W6">
        <v>0.24802376329898829</v>
      </c>
      <c r="X6">
        <v>0.1059732288122177</v>
      </c>
      <c r="Y6">
        <f t="shared" si="7"/>
        <v>99.702645258115766</v>
      </c>
      <c r="AA6" s="2">
        <f t="shared" si="8"/>
        <v>1.0362405487161002</v>
      </c>
      <c r="AB6" s="2">
        <f t="shared" si="9"/>
        <v>7.6821444445527503</v>
      </c>
    </row>
    <row r="7" spans="1:28" x14ac:dyDescent="0.2">
      <c r="A7">
        <v>2</v>
      </c>
      <c r="B7">
        <v>45</v>
      </c>
      <c r="C7">
        <v>0.8</v>
      </c>
      <c r="D7">
        <v>9.9</v>
      </c>
      <c r="E7">
        <v>0.6</v>
      </c>
      <c r="F7">
        <f t="shared" si="0"/>
        <v>45</v>
      </c>
      <c r="G7">
        <f t="shared" si="1"/>
        <v>40.6</v>
      </c>
      <c r="H7">
        <f t="shared" si="2"/>
        <v>0.44159632333729454</v>
      </c>
      <c r="I7">
        <f t="shared" si="3"/>
        <v>5.1360000000000003E-2</v>
      </c>
      <c r="J7">
        <v>6.78</v>
      </c>
      <c r="L7">
        <v>0.39931357000000001</v>
      </c>
      <c r="M7">
        <v>0.189874984</v>
      </c>
      <c r="N7">
        <v>89.589246169999996</v>
      </c>
      <c r="P7">
        <v>0.43146000000000001</v>
      </c>
      <c r="Q7">
        <v>0.22389999999999999</v>
      </c>
      <c r="R7">
        <f t="shared" si="4"/>
        <v>82.09108586752015</v>
      </c>
      <c r="T7" s="2">
        <f t="shared" si="5"/>
        <v>7.4506165113799661</v>
      </c>
      <c r="U7" s="2">
        <f t="shared" si="6"/>
        <v>15.196523447967838</v>
      </c>
      <c r="W7">
        <v>0.41671633720397949</v>
      </c>
      <c r="X7">
        <v>0.19645699858665469</v>
      </c>
      <c r="Y7">
        <f t="shared" si="7"/>
        <v>90.361322235326355</v>
      </c>
      <c r="AA7" s="2">
        <f t="shared" si="8"/>
        <v>3.4171563519261388</v>
      </c>
      <c r="AB7" s="2">
        <f t="shared" si="9"/>
        <v>12.256811707612906</v>
      </c>
    </row>
    <row r="8" spans="1:28" x14ac:dyDescent="0.2">
      <c r="A8">
        <v>2</v>
      </c>
      <c r="B8">
        <v>50</v>
      </c>
      <c r="C8">
        <v>1.8</v>
      </c>
      <c r="D8">
        <v>9.9</v>
      </c>
      <c r="E8">
        <v>0.8</v>
      </c>
      <c r="F8">
        <f t="shared" si="0"/>
        <v>50</v>
      </c>
      <c r="G8">
        <f t="shared" si="1"/>
        <v>41.199999999999996</v>
      </c>
      <c r="H8">
        <f t="shared" si="2"/>
        <v>0.42464680391585063</v>
      </c>
      <c r="I8">
        <f t="shared" si="3"/>
        <v>2.4319999999999998E-2</v>
      </c>
      <c r="J8">
        <v>6.78</v>
      </c>
      <c r="L8">
        <v>0.36704583099999999</v>
      </c>
      <c r="M8">
        <v>0.12008523</v>
      </c>
      <c r="N8">
        <v>130.20877830000001</v>
      </c>
      <c r="P8">
        <v>0.39315</v>
      </c>
      <c r="Q8">
        <v>0.13231999999999999</v>
      </c>
      <c r="R8">
        <f t="shared" si="4"/>
        <v>126.57336980166569</v>
      </c>
      <c r="T8" s="2">
        <f t="shared" si="5"/>
        <v>6.6397479333587723</v>
      </c>
      <c r="U8" s="2">
        <f t="shared" si="6"/>
        <v>9.246349758162026</v>
      </c>
      <c r="W8">
        <v>0.362203449010849</v>
      </c>
      <c r="X8">
        <v>0.14358808100223541</v>
      </c>
      <c r="Y8">
        <f t="shared" si="7"/>
        <v>107.45923510329642</v>
      </c>
      <c r="AA8" s="2">
        <f t="shared" si="8"/>
        <v>7.8714360903347327</v>
      </c>
      <c r="AB8" s="2">
        <f t="shared" si="9"/>
        <v>8.5157806848816655</v>
      </c>
    </row>
    <row r="9" spans="1:28" x14ac:dyDescent="0.2">
      <c r="A9">
        <v>2</v>
      </c>
      <c r="B9">
        <v>55</v>
      </c>
      <c r="C9">
        <v>1.8</v>
      </c>
      <c r="D9">
        <v>29.9</v>
      </c>
      <c r="E9">
        <v>0.4</v>
      </c>
      <c r="F9">
        <f t="shared" si="0"/>
        <v>55</v>
      </c>
      <c r="G9">
        <f t="shared" si="1"/>
        <v>47</v>
      </c>
      <c r="H9">
        <f t="shared" si="2"/>
        <v>0.49422024418604649</v>
      </c>
      <c r="I9">
        <f t="shared" si="3"/>
        <v>2.7200000000000002E-2</v>
      </c>
      <c r="J9">
        <v>6.78</v>
      </c>
      <c r="L9">
        <v>0.42159802699999999</v>
      </c>
      <c r="M9">
        <v>0.126449279</v>
      </c>
      <c r="N9">
        <v>142.0338223</v>
      </c>
      <c r="P9">
        <v>0.45007000000000003</v>
      </c>
      <c r="Q9">
        <v>0.13994999999999999</v>
      </c>
      <c r="R9">
        <f t="shared" si="4"/>
        <v>136.99878560125703</v>
      </c>
      <c r="T9" s="2">
        <f t="shared" si="5"/>
        <v>6.3261210478370122</v>
      </c>
      <c r="U9" s="2">
        <f t="shared" si="6"/>
        <v>9.6468174347981375</v>
      </c>
      <c r="W9">
        <v>0.41758072376251221</v>
      </c>
      <c r="X9">
        <v>0.161831334233284</v>
      </c>
      <c r="Y9">
        <f t="shared" si="7"/>
        <v>109.92269885552047</v>
      </c>
      <c r="AA9" s="2">
        <f t="shared" si="8"/>
        <v>7.2187162524691306</v>
      </c>
      <c r="AB9" s="2">
        <f t="shared" si="9"/>
        <v>15.635108419638447</v>
      </c>
    </row>
    <row r="10" spans="1:28" x14ac:dyDescent="0.2">
      <c r="A10">
        <v>2</v>
      </c>
      <c r="B10">
        <v>60</v>
      </c>
      <c r="C10">
        <v>0.8</v>
      </c>
      <c r="D10">
        <v>89.9</v>
      </c>
      <c r="E10">
        <v>0.6</v>
      </c>
      <c r="F10">
        <f t="shared" si="0"/>
        <v>60</v>
      </c>
      <c r="G10">
        <f t="shared" si="1"/>
        <v>55.6</v>
      </c>
      <c r="H10">
        <f t="shared" si="2"/>
        <v>0.61603485309845463</v>
      </c>
      <c r="I10">
        <f t="shared" si="3"/>
        <v>6.9359999999999991E-2</v>
      </c>
      <c r="J10">
        <v>6.78</v>
      </c>
      <c r="L10">
        <v>0.49101350199999999</v>
      </c>
      <c r="M10">
        <v>0.20401693400000001</v>
      </c>
      <c r="N10">
        <v>102.5266529</v>
      </c>
      <c r="P10">
        <v>0.52566000000000002</v>
      </c>
      <c r="Q10">
        <v>0.21078</v>
      </c>
      <c r="R10">
        <f t="shared" si="4"/>
        <v>106.23927183097523</v>
      </c>
      <c r="T10" s="2">
        <f t="shared" si="5"/>
        <v>6.5910470646425496</v>
      </c>
      <c r="U10" s="2">
        <f t="shared" si="6"/>
        <v>3.208589999051136</v>
      </c>
      <c r="W10">
        <v>0.50073379278182983</v>
      </c>
      <c r="X10">
        <v>0.22311745584011081</v>
      </c>
      <c r="Y10">
        <f t="shared" si="7"/>
        <v>95.605506601888834</v>
      </c>
      <c r="AA10" s="2">
        <f t="shared" si="8"/>
        <v>4.7418877636057868</v>
      </c>
      <c r="AB10" s="2">
        <f t="shared" si="9"/>
        <v>5.8532383718145988</v>
      </c>
    </row>
    <row r="11" spans="1:28" x14ac:dyDescent="0.2">
      <c r="A11">
        <v>3</v>
      </c>
      <c r="B11">
        <v>30</v>
      </c>
      <c r="C11">
        <v>1</v>
      </c>
      <c r="D11">
        <v>9.9</v>
      </c>
      <c r="E11">
        <v>0.6</v>
      </c>
      <c r="F11">
        <f t="shared" si="0"/>
        <v>30</v>
      </c>
      <c r="G11">
        <f t="shared" si="1"/>
        <v>21.6</v>
      </c>
      <c r="H11">
        <f t="shared" si="2"/>
        <v>0.47284660679439711</v>
      </c>
      <c r="I11">
        <f t="shared" si="3"/>
        <v>2.4768000000000005E-2</v>
      </c>
      <c r="J11">
        <v>6.78</v>
      </c>
      <c r="L11">
        <v>0.30093238700000002</v>
      </c>
      <c r="M11">
        <v>0.36028702400000001</v>
      </c>
      <c r="N11">
        <v>35.581960359999997</v>
      </c>
      <c r="P11">
        <v>0.41281000000000001</v>
      </c>
      <c r="Q11">
        <v>0.2019</v>
      </c>
      <c r="R11">
        <f t="shared" si="4"/>
        <v>87.101060954697189</v>
      </c>
      <c r="T11" s="2">
        <f t="shared" si="5"/>
        <v>27.101478404108427</v>
      </c>
      <c r="U11" s="2">
        <f t="shared" si="6"/>
        <v>78.44825359088658</v>
      </c>
      <c r="W11">
        <v>0.37718492746353149</v>
      </c>
      <c r="X11">
        <v>0.1903194934129715</v>
      </c>
      <c r="Y11">
        <f t="shared" si="7"/>
        <v>84.426854986363566</v>
      </c>
      <c r="AA11" s="2">
        <f t="shared" si="8"/>
        <v>8.6298957235698062</v>
      </c>
      <c r="AB11" s="2">
        <f t="shared" si="9"/>
        <v>5.7357635398853395</v>
      </c>
    </row>
    <row r="12" spans="1:28" x14ac:dyDescent="0.2">
      <c r="A12">
        <v>3</v>
      </c>
      <c r="B12">
        <v>40</v>
      </c>
      <c r="C12">
        <v>1.2</v>
      </c>
      <c r="D12">
        <v>9.9</v>
      </c>
      <c r="E12">
        <v>1.2</v>
      </c>
      <c r="F12">
        <f t="shared" si="0"/>
        <v>40</v>
      </c>
      <c r="G12">
        <f t="shared" si="1"/>
        <v>28</v>
      </c>
      <c r="H12">
        <f t="shared" si="2"/>
        <v>0.60742591345772134</v>
      </c>
      <c r="I12">
        <f t="shared" si="3"/>
        <v>2.7200000000000002E-2</v>
      </c>
      <c r="J12">
        <v>6.78</v>
      </c>
      <c r="L12">
        <v>0.49855030700000003</v>
      </c>
      <c r="M12">
        <v>0.20871194800000001</v>
      </c>
      <c r="N12">
        <v>101.7586268</v>
      </c>
      <c r="P12">
        <v>0.54320000000000002</v>
      </c>
      <c r="Q12">
        <v>0.21759000000000001</v>
      </c>
      <c r="R12">
        <f t="shared" si="4"/>
        <v>106.34825883698332</v>
      </c>
      <c r="T12" s="2">
        <f t="shared" si="5"/>
        <v>8.2197520250368168</v>
      </c>
      <c r="U12" s="2">
        <f t="shared" si="6"/>
        <v>4.0801746403786927</v>
      </c>
      <c r="W12">
        <v>0.49952501058578491</v>
      </c>
      <c r="X12">
        <v>0.19827504456043241</v>
      </c>
      <c r="Y12">
        <f t="shared" si="7"/>
        <v>107.32446601232216</v>
      </c>
      <c r="AA12" s="2">
        <f t="shared" si="8"/>
        <v>8.0403146933385692</v>
      </c>
      <c r="AB12" s="2">
        <f t="shared" si="9"/>
        <v>8.8767661379510088</v>
      </c>
    </row>
    <row r="13" spans="1:28" x14ac:dyDescent="0.2">
      <c r="A13">
        <v>3</v>
      </c>
      <c r="B13">
        <v>40</v>
      </c>
      <c r="C13">
        <v>1.4</v>
      </c>
      <c r="D13">
        <v>29.9</v>
      </c>
      <c r="E13">
        <v>0.8</v>
      </c>
      <c r="F13">
        <f t="shared" si="0"/>
        <v>40</v>
      </c>
      <c r="G13">
        <f t="shared" si="1"/>
        <v>28.4</v>
      </c>
      <c r="H13">
        <f t="shared" si="2"/>
        <v>0.61884321319103008</v>
      </c>
      <c r="I13">
        <f t="shared" si="3"/>
        <v>2.3451428571428581E-2</v>
      </c>
      <c r="J13">
        <v>6.78</v>
      </c>
      <c r="L13">
        <v>0.398311211</v>
      </c>
      <c r="M13">
        <v>0.37315062300000001</v>
      </c>
      <c r="N13">
        <v>45.472404709999999</v>
      </c>
      <c r="P13">
        <v>0.52893999999999997</v>
      </c>
      <c r="Q13">
        <v>0.20279</v>
      </c>
      <c r="R13">
        <f t="shared" si="4"/>
        <v>111.11416589715785</v>
      </c>
      <c r="T13" s="2">
        <f t="shared" si="5"/>
        <v>24.696333988732178</v>
      </c>
      <c r="U13" s="2">
        <f t="shared" si="6"/>
        <v>84.008394398145867</v>
      </c>
      <c r="W13">
        <v>0.48427659273147577</v>
      </c>
      <c r="X13">
        <v>0.18546582758426669</v>
      </c>
      <c r="Y13">
        <f t="shared" si="7"/>
        <v>111.23440374637205</v>
      </c>
      <c r="AA13" s="2">
        <f t="shared" si="8"/>
        <v>8.4439458669270984</v>
      </c>
      <c r="AB13" s="2">
        <f t="shared" si="9"/>
        <v>8.5429125774117605</v>
      </c>
    </row>
    <row r="14" spans="1:28" x14ac:dyDescent="0.2">
      <c r="A14">
        <v>3</v>
      </c>
      <c r="B14">
        <v>45</v>
      </c>
      <c r="C14">
        <v>1.8</v>
      </c>
      <c r="D14">
        <v>9.9</v>
      </c>
      <c r="E14">
        <v>1.2</v>
      </c>
      <c r="F14">
        <f t="shared" si="0"/>
        <v>45</v>
      </c>
      <c r="G14">
        <f t="shared" si="1"/>
        <v>29.4</v>
      </c>
      <c r="H14">
        <f t="shared" si="2"/>
        <v>0.62627951059595866</v>
      </c>
      <c r="I14">
        <f t="shared" si="3"/>
        <v>1.9840000000000003E-2</v>
      </c>
      <c r="J14">
        <v>6.78</v>
      </c>
      <c r="L14">
        <v>0.52214684899999997</v>
      </c>
      <c r="M14">
        <v>0.16807523199999999</v>
      </c>
      <c r="N14">
        <v>132.34224699999999</v>
      </c>
      <c r="P14">
        <v>0.55549999999999999</v>
      </c>
      <c r="Q14">
        <v>0.18973000000000001</v>
      </c>
      <c r="R14">
        <f t="shared" si="4"/>
        <v>124.72617713017445</v>
      </c>
      <c r="T14" s="2">
        <f t="shared" si="5"/>
        <v>6.0041675967596806</v>
      </c>
      <c r="U14" s="2">
        <f t="shared" si="6"/>
        <v>11.413465450903926</v>
      </c>
      <c r="W14">
        <v>0.52081942558288574</v>
      </c>
      <c r="X14">
        <v>0.17022643983364111</v>
      </c>
      <c r="Y14">
        <f t="shared" si="7"/>
        <v>130.33759790238324</v>
      </c>
      <c r="AA14" s="2">
        <f t="shared" si="8"/>
        <v>6.2431277078513503</v>
      </c>
      <c r="AB14" s="2">
        <f t="shared" si="9"/>
        <v>10.279639575374954</v>
      </c>
    </row>
    <row r="15" spans="1:28" x14ac:dyDescent="0.2">
      <c r="A15">
        <v>3</v>
      </c>
      <c r="B15">
        <v>50</v>
      </c>
      <c r="C15">
        <v>1.8</v>
      </c>
      <c r="D15">
        <v>29.9</v>
      </c>
      <c r="E15">
        <v>1.2</v>
      </c>
      <c r="F15">
        <f t="shared" si="0"/>
        <v>50</v>
      </c>
      <c r="G15">
        <f t="shared" si="1"/>
        <v>34.4</v>
      </c>
      <c r="H15">
        <f t="shared" si="2"/>
        <v>0.74248187911928687</v>
      </c>
      <c r="I15">
        <f t="shared" si="3"/>
        <v>2.2506666666666668E-2</v>
      </c>
      <c r="J15">
        <v>6.78</v>
      </c>
      <c r="L15">
        <v>0.60386275700000003</v>
      </c>
      <c r="M15">
        <v>0.181093175</v>
      </c>
      <c r="N15">
        <v>142.0514671</v>
      </c>
      <c r="P15">
        <v>0.64193</v>
      </c>
      <c r="Q15">
        <v>0.20407</v>
      </c>
      <c r="R15">
        <f t="shared" si="4"/>
        <v>134.00409276942264</v>
      </c>
      <c r="T15" s="2">
        <f t="shared" si="5"/>
        <v>5.9301236894988509</v>
      </c>
      <c r="U15" s="2">
        <f t="shared" si="6"/>
        <v>11.259286029303674</v>
      </c>
      <c r="W15">
        <v>0.59926110506057739</v>
      </c>
      <c r="X15">
        <v>0.1831464767456055</v>
      </c>
      <c r="Y15">
        <f t="shared" si="7"/>
        <v>139.38854258086567</v>
      </c>
      <c r="AA15" s="2">
        <f t="shared" si="8"/>
        <v>6.6469700651819688</v>
      </c>
      <c r="AB15" s="2">
        <f t="shared" si="9"/>
        <v>10.253110821970161</v>
      </c>
    </row>
    <row r="16" spans="1:28" x14ac:dyDescent="0.2">
      <c r="A16">
        <v>3</v>
      </c>
      <c r="B16">
        <v>55</v>
      </c>
      <c r="C16">
        <v>1.6</v>
      </c>
      <c r="D16">
        <v>49.9</v>
      </c>
      <c r="E16">
        <v>1</v>
      </c>
      <c r="F16">
        <f t="shared" si="0"/>
        <v>55</v>
      </c>
      <c r="G16">
        <f t="shared" si="1"/>
        <v>41.4</v>
      </c>
      <c r="H16">
        <f t="shared" si="2"/>
        <v>0.9211818501108382</v>
      </c>
      <c r="I16">
        <f t="shared" si="3"/>
        <v>2.8920000000000005E-2</v>
      </c>
      <c r="J16">
        <v>6.78</v>
      </c>
      <c r="L16">
        <v>0.73533036200000002</v>
      </c>
      <c r="M16">
        <v>0.20875734400000001</v>
      </c>
      <c r="N16">
        <v>150.05493989999999</v>
      </c>
      <c r="P16">
        <v>0.77481999999999995</v>
      </c>
      <c r="Q16">
        <v>0.2261</v>
      </c>
      <c r="R16">
        <f t="shared" si="4"/>
        <v>145.98553133207395</v>
      </c>
      <c r="T16" s="2">
        <f t="shared" si="5"/>
        <v>5.0966208925944017</v>
      </c>
      <c r="U16" s="2">
        <f t="shared" si="6"/>
        <v>7.6703476337903513</v>
      </c>
      <c r="W16">
        <v>0.74201822280883789</v>
      </c>
      <c r="X16">
        <v>0.22569674253463751</v>
      </c>
      <c r="Y16">
        <f t="shared" si="7"/>
        <v>140.05506997283391</v>
      </c>
      <c r="AA16" s="2">
        <f t="shared" si="8"/>
        <v>4.2334706372011652</v>
      </c>
      <c r="AB16" s="2">
        <f t="shared" si="9"/>
        <v>0.1783535892801808</v>
      </c>
    </row>
    <row r="17" spans="1:28" x14ac:dyDescent="0.2">
      <c r="A17">
        <v>3</v>
      </c>
      <c r="B17">
        <v>60</v>
      </c>
      <c r="C17">
        <v>1.4</v>
      </c>
      <c r="D17">
        <v>9.9</v>
      </c>
      <c r="E17">
        <v>1.2</v>
      </c>
      <c r="F17">
        <f t="shared" si="0"/>
        <v>60</v>
      </c>
      <c r="G17">
        <f t="shared" si="1"/>
        <v>46.800000000000004</v>
      </c>
      <c r="H17">
        <f t="shared" si="2"/>
        <v>1.0569841493068974</v>
      </c>
      <c r="I17">
        <f t="shared" si="3"/>
        <v>3.6617142857142869E-2</v>
      </c>
      <c r="J17">
        <v>6.78</v>
      </c>
      <c r="L17">
        <v>0.93185604300000002</v>
      </c>
      <c r="M17">
        <v>0.29370295099999999</v>
      </c>
      <c r="N17">
        <v>135.16058960000001</v>
      </c>
      <c r="P17">
        <v>0.98089000000000004</v>
      </c>
      <c r="Q17">
        <v>0.27775</v>
      </c>
      <c r="R17">
        <f t="shared" si="4"/>
        <v>150.44431949239907</v>
      </c>
      <c r="T17" s="2">
        <f t="shared" si="5"/>
        <v>4.9989251598038535</v>
      </c>
      <c r="U17" s="2">
        <f t="shared" si="6"/>
        <v>5.7436367236723651</v>
      </c>
      <c r="W17">
        <v>0.92956411838531494</v>
      </c>
      <c r="X17">
        <v>0.27559497952461243</v>
      </c>
      <c r="Y17">
        <f t="shared" si="7"/>
        <v>143.68704202629135</v>
      </c>
      <c r="AA17" s="2">
        <f t="shared" si="8"/>
        <v>5.2325828191423192</v>
      </c>
      <c r="AB17" s="2">
        <f t="shared" si="9"/>
        <v>0.77588495963548887</v>
      </c>
    </row>
    <row r="18" spans="1:28" x14ac:dyDescent="0.2">
      <c r="A18">
        <v>3</v>
      </c>
      <c r="B18">
        <v>70</v>
      </c>
      <c r="C18">
        <v>1.8</v>
      </c>
      <c r="D18">
        <v>49.9</v>
      </c>
      <c r="E18">
        <v>0.8</v>
      </c>
      <c r="F18">
        <f t="shared" si="0"/>
        <v>70</v>
      </c>
      <c r="G18">
        <f t="shared" si="1"/>
        <v>56</v>
      </c>
      <c r="H18">
        <f t="shared" si="2"/>
        <v>1.2796131406649616</v>
      </c>
      <c r="I18">
        <f t="shared" si="3"/>
        <v>3.3600000000000005E-2</v>
      </c>
      <c r="J18">
        <v>6.78</v>
      </c>
      <c r="L18">
        <v>1.0631741539999999</v>
      </c>
      <c r="M18">
        <v>0.262538357</v>
      </c>
      <c r="N18">
        <v>172.51275419999999</v>
      </c>
      <c r="P18">
        <v>1.1099000000000001</v>
      </c>
      <c r="Q18">
        <v>0.24301</v>
      </c>
      <c r="R18">
        <f t="shared" si="4"/>
        <v>194.56703501335093</v>
      </c>
      <c r="T18" s="2">
        <f t="shared" si="5"/>
        <v>4.2099149472925648</v>
      </c>
      <c r="U18" s="2">
        <f t="shared" si="6"/>
        <v>8.0360302045183314</v>
      </c>
      <c r="W18">
        <v>1.06830894947052</v>
      </c>
      <c r="X18">
        <v>0.27330285310745239</v>
      </c>
      <c r="Y18">
        <f t="shared" si="7"/>
        <v>166.51841021512232</v>
      </c>
      <c r="AA18" s="2">
        <f t="shared" si="8"/>
        <v>3.7472790818524269</v>
      </c>
      <c r="AB18" s="2">
        <f t="shared" si="9"/>
        <v>12.465681703408251</v>
      </c>
    </row>
    <row r="19" spans="1:28" x14ac:dyDescent="0.2">
      <c r="A19">
        <v>4</v>
      </c>
      <c r="B19">
        <v>30</v>
      </c>
      <c r="C19">
        <v>0.8</v>
      </c>
      <c r="D19">
        <v>30</v>
      </c>
      <c r="E19">
        <v>0.5</v>
      </c>
      <c r="F19">
        <f t="shared" si="0"/>
        <v>30</v>
      </c>
      <c r="G19">
        <f t="shared" si="1"/>
        <v>20.599999999999998</v>
      </c>
      <c r="H19">
        <f t="shared" si="2"/>
        <v>0.79001250392593914</v>
      </c>
      <c r="I19">
        <f t="shared" si="3"/>
        <v>3.0360000000000002E-2</v>
      </c>
      <c r="J19">
        <v>6.78</v>
      </c>
      <c r="L19">
        <v>0.61613417500000001</v>
      </c>
      <c r="M19">
        <v>0.30490420299999998</v>
      </c>
      <c r="N19">
        <v>86.083803979999999</v>
      </c>
      <c r="P19">
        <v>0.64695999999999998</v>
      </c>
      <c r="Q19">
        <v>0.26497999999999999</v>
      </c>
      <c r="R19">
        <f t="shared" si="4"/>
        <v>104.00971088235249</v>
      </c>
      <c r="T19" s="2">
        <f t="shared" si="5"/>
        <v>4.7647188388772062</v>
      </c>
      <c r="U19" s="2">
        <f t="shared" si="6"/>
        <v>15.066874103705938</v>
      </c>
      <c r="W19">
        <v>0.82163166999816895</v>
      </c>
      <c r="X19">
        <v>0.534984290599823</v>
      </c>
      <c r="Y19">
        <f t="shared" si="7"/>
        <v>65.425296009178936</v>
      </c>
      <c r="AA19" s="2">
        <f t="shared" si="8"/>
        <v>26.998836094684208</v>
      </c>
      <c r="AB19" s="2">
        <f t="shared" si="9"/>
        <v>101.89610181893842</v>
      </c>
    </row>
    <row r="20" spans="1:28" x14ac:dyDescent="0.2">
      <c r="A20">
        <v>4</v>
      </c>
      <c r="B20">
        <v>30</v>
      </c>
      <c r="C20">
        <v>1</v>
      </c>
      <c r="D20">
        <v>40</v>
      </c>
      <c r="E20">
        <v>0.7</v>
      </c>
      <c r="F20">
        <f t="shared" si="0"/>
        <v>30</v>
      </c>
      <c r="G20">
        <f t="shared" si="1"/>
        <v>17.8</v>
      </c>
      <c r="H20">
        <f t="shared" si="2"/>
        <v>0.66289376166498148</v>
      </c>
      <c r="I20">
        <f t="shared" si="3"/>
        <v>2.2944000000000003E-2</v>
      </c>
      <c r="J20">
        <v>6.78</v>
      </c>
      <c r="L20">
        <v>0.50216950599999999</v>
      </c>
      <c r="M20">
        <v>0.24313542799999999</v>
      </c>
      <c r="N20">
        <v>87.985610780000002</v>
      </c>
      <c r="P20">
        <v>0.52949000000000002</v>
      </c>
      <c r="Q20">
        <v>0.20624999999999999</v>
      </c>
      <c r="R20">
        <f t="shared" si="4"/>
        <v>109.36374157525063</v>
      </c>
      <c r="T20" s="2">
        <f t="shared" si="5"/>
        <v>5.1597752554344796</v>
      </c>
      <c r="U20" s="2">
        <f t="shared" si="6"/>
        <v>17.883843878787879</v>
      </c>
      <c r="W20">
        <v>0.65782558917999268</v>
      </c>
      <c r="X20">
        <v>0.45139503479003912</v>
      </c>
      <c r="Y20">
        <f t="shared" si="7"/>
        <v>62.08169138260029</v>
      </c>
      <c r="AA20" s="2">
        <f t="shared" si="8"/>
        <v>24.23758506864958</v>
      </c>
      <c r="AB20" s="2">
        <f t="shared" si="9"/>
        <v>118.85819868607959</v>
      </c>
    </row>
    <row r="21" spans="1:28" x14ac:dyDescent="0.2">
      <c r="A21">
        <v>4</v>
      </c>
      <c r="B21">
        <v>35</v>
      </c>
      <c r="C21">
        <v>0.8</v>
      </c>
      <c r="D21">
        <v>50</v>
      </c>
      <c r="E21">
        <v>0.5</v>
      </c>
      <c r="F21">
        <f t="shared" si="0"/>
        <v>35</v>
      </c>
      <c r="G21">
        <f t="shared" si="1"/>
        <v>25.599999999999998</v>
      </c>
      <c r="H21">
        <f t="shared" si="2"/>
        <v>1.0017672909786461</v>
      </c>
      <c r="I21">
        <f t="shared" si="3"/>
        <v>3.6359999999999996E-2</v>
      </c>
      <c r="J21">
        <v>6.78</v>
      </c>
      <c r="L21">
        <v>0.76796678200000001</v>
      </c>
      <c r="M21">
        <v>0.347383043</v>
      </c>
      <c r="N21">
        <v>94.176681419999994</v>
      </c>
      <c r="P21">
        <v>0.80198000000000003</v>
      </c>
      <c r="Q21">
        <v>0.32780999999999999</v>
      </c>
      <c r="R21">
        <f t="shared" si="4"/>
        <v>104.2199582569137</v>
      </c>
      <c r="T21" s="2">
        <f t="shared" si="5"/>
        <v>4.24115539040874</v>
      </c>
      <c r="U21" s="2">
        <f t="shared" si="6"/>
        <v>5.9708498825539227</v>
      </c>
      <c r="W21">
        <v>0.86089038848876953</v>
      </c>
      <c r="X21">
        <v>0.47330862283706671</v>
      </c>
      <c r="Y21">
        <f t="shared" si="7"/>
        <v>77.484172145620278</v>
      </c>
      <c r="AA21" s="2">
        <f t="shared" si="8"/>
        <v>7.3456181561596932</v>
      </c>
      <c r="AB21" s="2">
        <f t="shared" si="9"/>
        <v>44.385047081256431</v>
      </c>
    </row>
    <row r="22" spans="1:28" x14ac:dyDescent="0.2">
      <c r="A22">
        <v>4</v>
      </c>
      <c r="B22">
        <v>40</v>
      </c>
      <c r="C22">
        <v>0.8</v>
      </c>
      <c r="D22">
        <v>85</v>
      </c>
      <c r="E22">
        <v>0.5</v>
      </c>
      <c r="F22">
        <f t="shared" si="0"/>
        <v>40</v>
      </c>
      <c r="G22">
        <f t="shared" si="1"/>
        <v>30.6</v>
      </c>
      <c r="H22">
        <f t="shared" si="2"/>
        <v>1.2184161406827199</v>
      </c>
      <c r="I22">
        <f t="shared" si="3"/>
        <v>4.2360000000000002E-2</v>
      </c>
      <c r="J22">
        <v>6.78</v>
      </c>
      <c r="L22">
        <v>0.88167009100000004</v>
      </c>
      <c r="M22">
        <v>0.38021389999999999</v>
      </c>
      <c r="N22">
        <v>98.784244090000001</v>
      </c>
      <c r="P22">
        <v>0.91508</v>
      </c>
      <c r="Q22">
        <v>0.29765000000000003</v>
      </c>
      <c r="R22">
        <f t="shared" si="4"/>
        <v>130.96725692891812</v>
      </c>
      <c r="T22" s="2">
        <f t="shared" si="5"/>
        <v>3.6510369585172833</v>
      </c>
      <c r="U22" s="2">
        <f t="shared" si="6"/>
        <v>27.738585587098928</v>
      </c>
      <c r="W22">
        <v>0.8703080415725708</v>
      </c>
      <c r="X22">
        <v>0.39379972219467158</v>
      </c>
      <c r="Y22">
        <f t="shared" si="7"/>
        <v>94.14714308012033</v>
      </c>
      <c r="AA22" s="2">
        <f t="shared" si="8"/>
        <v>4.8926824351345459</v>
      </c>
      <c r="AB22" s="2">
        <f t="shared" si="9"/>
        <v>32.302947150905943</v>
      </c>
    </row>
    <row r="23" spans="1:28" x14ac:dyDescent="0.2">
      <c r="A23">
        <v>4</v>
      </c>
      <c r="B23">
        <v>40</v>
      </c>
      <c r="C23">
        <v>0.8</v>
      </c>
      <c r="D23">
        <v>20</v>
      </c>
      <c r="E23">
        <v>0.7</v>
      </c>
      <c r="F23">
        <f t="shared" si="0"/>
        <v>40</v>
      </c>
      <c r="G23">
        <f t="shared" si="1"/>
        <v>29.4</v>
      </c>
      <c r="H23">
        <f t="shared" si="2"/>
        <v>1.1524940492424089</v>
      </c>
      <c r="I23">
        <f t="shared" si="3"/>
        <v>4.164000000000001E-2</v>
      </c>
      <c r="J23">
        <v>6.78</v>
      </c>
      <c r="L23">
        <v>0.96243375600000003</v>
      </c>
      <c r="M23">
        <v>0.40098629499999999</v>
      </c>
      <c r="N23">
        <v>102.2470718</v>
      </c>
      <c r="P23">
        <v>1.0001</v>
      </c>
      <c r="Q23">
        <v>0.33732000000000001</v>
      </c>
      <c r="R23">
        <f t="shared" si="4"/>
        <v>126.30219274150836</v>
      </c>
      <c r="T23" s="2">
        <f t="shared" si="5"/>
        <v>3.7662477752224741</v>
      </c>
      <c r="U23" s="2">
        <f t="shared" si="6"/>
        <v>18.874153622672829</v>
      </c>
      <c r="W23">
        <v>0.93598878383636475</v>
      </c>
      <c r="X23">
        <v>0.42837667465209961</v>
      </c>
      <c r="Y23">
        <f t="shared" si="7"/>
        <v>93.079573386847642</v>
      </c>
      <c r="AA23" s="2">
        <f t="shared" si="8"/>
        <v>6.4104805683066939</v>
      </c>
      <c r="AB23" s="2">
        <f t="shared" si="9"/>
        <v>26.994152333718606</v>
      </c>
    </row>
    <row r="24" spans="1:28" x14ac:dyDescent="0.2">
      <c r="A24">
        <v>4</v>
      </c>
      <c r="B24">
        <v>40</v>
      </c>
      <c r="C24">
        <v>1</v>
      </c>
      <c r="D24">
        <v>20</v>
      </c>
      <c r="E24">
        <v>0.5</v>
      </c>
      <c r="F24">
        <f t="shared" si="0"/>
        <v>40</v>
      </c>
      <c r="G24">
        <f t="shared" si="1"/>
        <v>29</v>
      </c>
      <c r="H24">
        <f t="shared" si="2"/>
        <v>1.1312862914268405</v>
      </c>
      <c r="I24">
        <f t="shared" si="3"/>
        <v>3.3120000000000004E-2</v>
      </c>
      <c r="J24">
        <v>6.78</v>
      </c>
      <c r="L24">
        <v>0.93857469000000004</v>
      </c>
      <c r="M24">
        <v>0.286905309</v>
      </c>
      <c r="N24">
        <v>139.36053870000001</v>
      </c>
      <c r="P24">
        <v>0.97636000000000001</v>
      </c>
      <c r="Q24">
        <v>0.35255999999999998</v>
      </c>
      <c r="R24">
        <f t="shared" si="4"/>
        <v>117.97405195907693</v>
      </c>
      <c r="T24" s="2">
        <f t="shared" si="5"/>
        <v>3.8700182309803726</v>
      </c>
      <c r="U24" s="2">
        <f t="shared" si="6"/>
        <v>18.622274506466983</v>
      </c>
      <c r="W24">
        <v>0.93247711658477783</v>
      </c>
      <c r="X24">
        <v>0.434345543384552</v>
      </c>
      <c r="Y24">
        <f t="shared" si="7"/>
        <v>91.456034765070314</v>
      </c>
      <c r="AA24" s="2">
        <f t="shared" si="8"/>
        <v>4.4945392493775014</v>
      </c>
      <c r="AB24" s="2">
        <f t="shared" si="9"/>
        <v>23.197624059607449</v>
      </c>
    </row>
    <row r="25" spans="1:28" x14ac:dyDescent="0.2">
      <c r="A25">
        <v>4</v>
      </c>
      <c r="B25">
        <v>50</v>
      </c>
      <c r="C25">
        <v>1</v>
      </c>
      <c r="D25">
        <v>60</v>
      </c>
      <c r="E25">
        <v>0.5</v>
      </c>
      <c r="F25">
        <f t="shared" si="0"/>
        <v>50</v>
      </c>
      <c r="G25">
        <f t="shared" si="1"/>
        <v>39</v>
      </c>
      <c r="H25">
        <f t="shared" si="2"/>
        <v>1.5659024434176259</v>
      </c>
      <c r="I25">
        <f t="shared" si="3"/>
        <v>4.2720000000000008E-2</v>
      </c>
      <c r="J25">
        <v>6.78</v>
      </c>
      <c r="L25">
        <v>1.2461269290000001</v>
      </c>
      <c r="M25">
        <v>0.43579581000000001</v>
      </c>
      <c r="N25">
        <v>121.8116409</v>
      </c>
      <c r="P25">
        <v>1.2890999999999999</v>
      </c>
      <c r="Q25">
        <v>0.41972999999999999</v>
      </c>
      <c r="R25">
        <f t="shared" si="4"/>
        <v>130.83566673849759</v>
      </c>
      <c r="T25" s="2">
        <f t="shared" si="5"/>
        <v>3.333571561554558</v>
      </c>
      <c r="U25" s="2">
        <f t="shared" si="6"/>
        <v>3.8276534915302731</v>
      </c>
      <c r="W25">
        <v>1.2330232858657839</v>
      </c>
      <c r="X25">
        <v>0.42327266931533808</v>
      </c>
      <c r="Y25">
        <f t="shared" si="7"/>
        <v>124.09680669104765</v>
      </c>
      <c r="AA25" s="2">
        <f t="shared" si="8"/>
        <v>4.3500670339163756</v>
      </c>
      <c r="AB25" s="2">
        <f t="shared" si="9"/>
        <v>0.84403528824198593</v>
      </c>
    </row>
    <row r="26" spans="1:28" x14ac:dyDescent="0.2">
      <c r="A26">
        <v>5</v>
      </c>
      <c r="B26">
        <v>40</v>
      </c>
      <c r="C26">
        <v>0.8</v>
      </c>
      <c r="D26">
        <v>9.9</v>
      </c>
      <c r="E26">
        <v>0.4</v>
      </c>
      <c r="F26">
        <f t="shared" si="0"/>
        <v>40</v>
      </c>
      <c r="G26">
        <f t="shared" si="1"/>
        <v>28.799999999999997</v>
      </c>
      <c r="H26">
        <f t="shared" si="2"/>
        <v>1.7512837288681369</v>
      </c>
      <c r="I26">
        <f t="shared" si="3"/>
        <v>4.1280000000000004E-2</v>
      </c>
      <c r="J26">
        <v>6.78</v>
      </c>
      <c r="L26">
        <v>1.505167513</v>
      </c>
      <c r="M26">
        <v>0.96039989800000003</v>
      </c>
      <c r="N26">
        <v>66.763991430000004</v>
      </c>
      <c r="P26">
        <v>1.5939000000000001</v>
      </c>
      <c r="Q26">
        <v>0.63248000000000004</v>
      </c>
      <c r="R26">
        <f t="shared" si="4"/>
        <v>107.35538368975843</v>
      </c>
      <c r="T26" s="2">
        <f t="shared" si="5"/>
        <v>5.5670046427003035</v>
      </c>
      <c r="U26" s="2">
        <f t="shared" si="6"/>
        <v>51.846682582848466</v>
      </c>
      <c r="W26">
        <v>1.503465414047241</v>
      </c>
      <c r="X26">
        <v>0.89343369007110596</v>
      </c>
      <c r="Y26">
        <f t="shared" si="7"/>
        <v>71.687043838990817</v>
      </c>
      <c r="AA26" s="2">
        <f t="shared" si="8"/>
        <v>5.6737929576986703</v>
      </c>
      <c r="AB26" s="2">
        <f t="shared" si="9"/>
        <v>41.258805032745052</v>
      </c>
    </row>
    <row r="27" spans="1:28" x14ac:dyDescent="0.2">
      <c r="A27">
        <v>5</v>
      </c>
      <c r="B27">
        <v>40</v>
      </c>
      <c r="C27">
        <v>0.8</v>
      </c>
      <c r="D27">
        <v>9.9</v>
      </c>
      <c r="E27">
        <v>0.6</v>
      </c>
      <c r="F27">
        <f t="shared" si="0"/>
        <v>40</v>
      </c>
      <c r="G27">
        <f t="shared" si="1"/>
        <v>27.2</v>
      </c>
      <c r="H27">
        <f t="shared" si="2"/>
        <v>1.6254994736842103</v>
      </c>
      <c r="I27">
        <f t="shared" si="3"/>
        <v>4.0320000000000002E-2</v>
      </c>
      <c r="J27">
        <v>6.78</v>
      </c>
      <c r="L27">
        <v>1.3952307989999999</v>
      </c>
      <c r="M27">
        <v>0.572882691</v>
      </c>
      <c r="N27">
        <v>103.7504326</v>
      </c>
      <c r="P27">
        <v>1.4652000000000001</v>
      </c>
      <c r="Q27">
        <v>0.64063999999999999</v>
      </c>
      <c r="R27">
        <f t="shared" si="4"/>
        <v>97.429935119835179</v>
      </c>
      <c r="T27" s="2">
        <f t="shared" si="5"/>
        <v>4.7754027436527533</v>
      </c>
      <c r="U27" s="2">
        <f t="shared" si="6"/>
        <v>10.576503028221776</v>
      </c>
      <c r="W27">
        <v>1.3647022247314451</v>
      </c>
      <c r="X27">
        <v>0.72680854797363281</v>
      </c>
      <c r="Y27">
        <f t="shared" si="7"/>
        <v>79.988477030683157</v>
      </c>
      <c r="AA27" s="2">
        <f t="shared" si="8"/>
        <v>6.8589800210588967</v>
      </c>
      <c r="AB27" s="2">
        <f t="shared" si="9"/>
        <v>13.450385235644486</v>
      </c>
    </row>
    <row r="28" spans="1:28" x14ac:dyDescent="0.2">
      <c r="A28">
        <v>5</v>
      </c>
      <c r="B28">
        <v>55</v>
      </c>
      <c r="C28">
        <v>1</v>
      </c>
      <c r="D28">
        <v>9.9</v>
      </c>
      <c r="E28">
        <v>0.6</v>
      </c>
      <c r="F28">
        <f t="shared" si="0"/>
        <v>55</v>
      </c>
      <c r="G28">
        <f t="shared" si="1"/>
        <v>40.200000000000003</v>
      </c>
      <c r="H28">
        <f t="shared" si="2"/>
        <v>2.4573246913070408</v>
      </c>
      <c r="I28">
        <f t="shared" si="3"/>
        <v>4.5696000000000014E-2</v>
      </c>
      <c r="J28">
        <v>6.78</v>
      </c>
      <c r="L28">
        <v>2.252865989</v>
      </c>
      <c r="M28">
        <v>0.87889271800000002</v>
      </c>
      <c r="N28">
        <v>109.1965845</v>
      </c>
      <c r="P28">
        <v>2.3498999999999999</v>
      </c>
      <c r="Q28">
        <v>0.80359999999999998</v>
      </c>
      <c r="R28">
        <f t="shared" si="4"/>
        <v>124.57159008466202</v>
      </c>
      <c r="T28" s="2">
        <f t="shared" si="5"/>
        <v>4.1292825652155356</v>
      </c>
      <c r="U28" s="2">
        <f t="shared" si="6"/>
        <v>9.3694273270283777</v>
      </c>
      <c r="W28">
        <v>2.2716133594512939</v>
      </c>
      <c r="X28">
        <v>0.85571670532226563</v>
      </c>
      <c r="Y28">
        <f t="shared" si="7"/>
        <v>113.08733210752563</v>
      </c>
      <c r="AA28" s="2">
        <f t="shared" si="8"/>
        <v>3.3314881717820306</v>
      </c>
      <c r="AB28" s="2">
        <f t="shared" si="9"/>
        <v>6.485403847967353</v>
      </c>
    </row>
    <row r="29" spans="1:28" x14ac:dyDescent="0.2">
      <c r="A29">
        <v>5</v>
      </c>
      <c r="B29">
        <v>60</v>
      </c>
      <c r="C29">
        <v>1.2</v>
      </c>
      <c r="D29">
        <v>69.900000000000006</v>
      </c>
      <c r="E29">
        <v>1</v>
      </c>
      <c r="F29">
        <f t="shared" si="0"/>
        <v>60</v>
      </c>
      <c r="G29">
        <f t="shared" si="1"/>
        <v>40</v>
      </c>
      <c r="H29">
        <f t="shared" si="2"/>
        <v>2.3782179818887448</v>
      </c>
      <c r="I29">
        <f t="shared" si="3"/>
        <v>4.0000000000000008E-2</v>
      </c>
      <c r="J29">
        <v>6.78</v>
      </c>
      <c r="L29">
        <v>1.879683529</v>
      </c>
      <c r="M29">
        <v>0.58028577599999998</v>
      </c>
      <c r="N29">
        <v>137.99151180000001</v>
      </c>
      <c r="P29">
        <v>1.9615</v>
      </c>
      <c r="Q29">
        <v>0.51859999999999995</v>
      </c>
      <c r="R29">
        <f t="shared" si="4"/>
        <v>161.12589949719245</v>
      </c>
      <c r="T29" s="2">
        <f t="shared" si="5"/>
        <v>4.1711175630894726</v>
      </c>
      <c r="U29" s="2">
        <f t="shared" si="6"/>
        <v>11.894673351330512</v>
      </c>
      <c r="W29">
        <v>1.9059193134307859</v>
      </c>
      <c r="X29">
        <v>0.58219581842422485</v>
      </c>
      <c r="Y29">
        <f t="shared" si="7"/>
        <v>139.4584981606244</v>
      </c>
      <c r="AA29" s="2">
        <f t="shared" si="8"/>
        <v>2.83358075805323</v>
      </c>
      <c r="AB29" s="2">
        <f t="shared" si="9"/>
        <v>12.2629807991178</v>
      </c>
    </row>
    <row r="30" spans="1:28" x14ac:dyDescent="0.2">
      <c r="A30">
        <v>5</v>
      </c>
      <c r="B30">
        <v>65</v>
      </c>
      <c r="C30">
        <v>1</v>
      </c>
      <c r="D30">
        <v>9.9</v>
      </c>
      <c r="E30">
        <v>1</v>
      </c>
      <c r="F30">
        <f t="shared" si="0"/>
        <v>65</v>
      </c>
      <c r="G30">
        <f t="shared" si="1"/>
        <v>47</v>
      </c>
      <c r="H30">
        <f t="shared" si="2"/>
        <v>2.8621595134665503</v>
      </c>
      <c r="I30">
        <f t="shared" si="3"/>
        <v>5.3760000000000009E-2</v>
      </c>
      <c r="J30">
        <v>6.78</v>
      </c>
      <c r="L30">
        <v>2.682374093</v>
      </c>
      <c r="M30">
        <v>0.92146893200000002</v>
      </c>
      <c r="N30">
        <v>124.0075739</v>
      </c>
      <c r="P30">
        <v>2.7972999999999999</v>
      </c>
      <c r="Q30">
        <v>0.84153999999999995</v>
      </c>
      <c r="R30">
        <f t="shared" si="4"/>
        <v>141.60345063636763</v>
      </c>
      <c r="T30" s="2">
        <f t="shared" si="5"/>
        <v>4.108458406320378</v>
      </c>
      <c r="U30" s="2">
        <f t="shared" si="6"/>
        <v>9.4979361646505289</v>
      </c>
      <c r="W30">
        <v>2.7258999347686772</v>
      </c>
      <c r="X30">
        <v>0.93374359607696533</v>
      </c>
      <c r="Y30">
        <f t="shared" si="7"/>
        <v>124.36318264212724</v>
      </c>
      <c r="AA30" s="2">
        <f t="shared" si="8"/>
        <v>2.5524636339085083</v>
      </c>
      <c r="AB30" s="2">
        <f t="shared" si="9"/>
        <v>10.956531605980153</v>
      </c>
    </row>
    <row r="31" spans="1:28" x14ac:dyDescent="0.2">
      <c r="A31">
        <v>5</v>
      </c>
      <c r="B31">
        <v>70</v>
      </c>
      <c r="C31">
        <v>0.4</v>
      </c>
      <c r="D31">
        <v>49.9</v>
      </c>
      <c r="E31">
        <v>0.4</v>
      </c>
      <c r="F31">
        <f t="shared" si="0"/>
        <v>70</v>
      </c>
      <c r="G31">
        <f t="shared" si="1"/>
        <v>62.800000000000004</v>
      </c>
      <c r="H31">
        <f t="shared" si="2"/>
        <v>4.2531703458046923</v>
      </c>
      <c r="I31">
        <f t="shared" si="3"/>
        <v>0.15936000000000006</v>
      </c>
      <c r="J31">
        <v>6.78</v>
      </c>
      <c r="L31">
        <v>4.3102209250000003</v>
      </c>
      <c r="M31">
        <v>2.3026982290000002</v>
      </c>
      <c r="N31">
        <v>79.739235260000001</v>
      </c>
      <c r="P31">
        <v>4.4965000000000002</v>
      </c>
      <c r="Q31">
        <v>2.2783000000000002</v>
      </c>
      <c r="R31">
        <f t="shared" si="4"/>
        <v>84.076232483520172</v>
      </c>
      <c r="T31" s="2">
        <f t="shared" si="5"/>
        <v>4.1427571444456763</v>
      </c>
      <c r="U31" s="2">
        <f t="shared" si="6"/>
        <v>1.0708962384233855</v>
      </c>
      <c r="W31">
        <v>4.4331645965576172</v>
      </c>
      <c r="X31">
        <v>2.3870658874511719</v>
      </c>
      <c r="Y31">
        <f t="shared" si="7"/>
        <v>79.115031364860272</v>
      </c>
      <c r="AA31" s="2">
        <f t="shared" si="8"/>
        <v>1.4085489479013227</v>
      </c>
      <c r="AB31" s="2">
        <f t="shared" si="9"/>
        <v>4.7739932164847323</v>
      </c>
    </row>
    <row r="32" spans="1:28" x14ac:dyDescent="0.2">
      <c r="A32">
        <v>5</v>
      </c>
      <c r="B32">
        <v>75</v>
      </c>
      <c r="C32">
        <v>0.8</v>
      </c>
      <c r="D32">
        <v>49.9</v>
      </c>
      <c r="E32">
        <v>1</v>
      </c>
      <c r="F32">
        <f t="shared" si="0"/>
        <v>75</v>
      </c>
      <c r="G32">
        <f t="shared" si="1"/>
        <v>59</v>
      </c>
      <c r="H32">
        <f t="shared" si="2"/>
        <v>3.7156277633948664</v>
      </c>
      <c r="I32">
        <f t="shared" si="3"/>
        <v>8.0400000000000013E-2</v>
      </c>
      <c r="J32">
        <v>6.78</v>
      </c>
      <c r="L32">
        <v>3.3586370140000001</v>
      </c>
      <c r="M32">
        <v>1.1302601029999999</v>
      </c>
      <c r="N32">
        <v>126.58849429999999</v>
      </c>
      <c r="P32">
        <v>3.5009000000000001</v>
      </c>
      <c r="Q32">
        <v>1.0051000000000001</v>
      </c>
      <c r="R32">
        <f t="shared" si="4"/>
        <v>148.38157874051376</v>
      </c>
      <c r="T32" s="2">
        <f t="shared" si="5"/>
        <v>4.0636118141049433</v>
      </c>
      <c r="U32" s="2">
        <f t="shared" si="6"/>
        <v>12.452502537060967</v>
      </c>
      <c r="W32">
        <v>3.420789480209351</v>
      </c>
      <c r="X32">
        <v>1.1621384620666499</v>
      </c>
      <c r="Y32">
        <f t="shared" si="7"/>
        <v>125.39436715472146</v>
      </c>
      <c r="AA32" s="2">
        <f t="shared" si="8"/>
        <v>2.2882835782412831</v>
      </c>
      <c r="AB32" s="2">
        <f t="shared" si="9"/>
        <v>15.624162975489982</v>
      </c>
    </row>
    <row r="33" spans="1:28" x14ac:dyDescent="0.2">
      <c r="A33">
        <v>5</v>
      </c>
      <c r="B33">
        <v>80</v>
      </c>
      <c r="C33">
        <v>1</v>
      </c>
      <c r="D33">
        <v>89.9</v>
      </c>
      <c r="E33">
        <v>0.8</v>
      </c>
      <c r="F33">
        <f t="shared" si="0"/>
        <v>80</v>
      </c>
      <c r="G33">
        <f t="shared" si="1"/>
        <v>63.599999999999994</v>
      </c>
      <c r="H33">
        <f t="shared" si="2"/>
        <v>4.0248868810651262</v>
      </c>
      <c r="I33">
        <f t="shared" si="3"/>
        <v>6.8928000000000003E-2</v>
      </c>
      <c r="J33">
        <v>6.78</v>
      </c>
      <c r="L33">
        <v>1.2524143860000001</v>
      </c>
      <c r="M33">
        <v>1.782394566</v>
      </c>
      <c r="N33">
        <v>29.933242230000001</v>
      </c>
      <c r="P33">
        <v>3.5184000000000002</v>
      </c>
      <c r="Q33">
        <v>1.105</v>
      </c>
      <c r="R33">
        <f t="shared" si="4"/>
        <v>135.64147033128543</v>
      </c>
      <c r="T33" s="2">
        <f t="shared" si="5"/>
        <v>64.403865791268757</v>
      </c>
      <c r="U33" s="2">
        <f t="shared" si="6"/>
        <v>61.302675656108597</v>
      </c>
      <c r="W33">
        <v>2.9876964092254639</v>
      </c>
      <c r="X33">
        <v>1.2134144306182859</v>
      </c>
      <c r="Y33">
        <f t="shared" si="7"/>
        <v>104.89067118610016</v>
      </c>
      <c r="AA33" s="2">
        <f t="shared" si="8"/>
        <v>15.083662766443165</v>
      </c>
      <c r="AB33" s="2">
        <f t="shared" si="9"/>
        <v>9.811260689437642</v>
      </c>
    </row>
    <row r="34" spans="1:28" x14ac:dyDescent="0.2">
      <c r="A34">
        <v>6</v>
      </c>
      <c r="B34">
        <v>50</v>
      </c>
      <c r="C34">
        <v>0.4</v>
      </c>
      <c r="D34">
        <v>29.9</v>
      </c>
      <c r="E34">
        <v>0.6</v>
      </c>
      <c r="F34">
        <f t="shared" si="0"/>
        <v>50</v>
      </c>
      <c r="G34">
        <f t="shared" si="1"/>
        <v>39.200000000000003</v>
      </c>
      <c r="H34">
        <f t="shared" si="2"/>
        <v>3.5494509094536761</v>
      </c>
      <c r="I34">
        <f t="shared" si="3"/>
        <v>0.10704000000000001</v>
      </c>
      <c r="J34">
        <v>6.78</v>
      </c>
      <c r="L34">
        <v>3.2376657541121001</v>
      </c>
      <c r="M34">
        <v>1.4939310061522799</v>
      </c>
      <c r="N34">
        <v>92.323239055549806</v>
      </c>
      <c r="P34">
        <v>3.3942999999999999</v>
      </c>
      <c r="Q34">
        <v>1.5874999999999999</v>
      </c>
      <c r="R34">
        <f t="shared" si="4"/>
        <v>91.084828507187908</v>
      </c>
      <c r="T34" s="2">
        <f t="shared" si="5"/>
        <v>4.6146258694841285</v>
      </c>
      <c r="U34" s="2">
        <f t="shared" si="6"/>
        <v>5.8941098486752752</v>
      </c>
      <c r="W34">
        <v>3.2423274517059331</v>
      </c>
      <c r="X34">
        <v>1.5256941318511961</v>
      </c>
      <c r="Y34">
        <f t="shared" si="7"/>
        <v>90.531340767766494</v>
      </c>
      <c r="AA34" s="2">
        <f t="shared" si="8"/>
        <v>4.477286871934326</v>
      </c>
      <c r="AB34" s="2">
        <f t="shared" si="9"/>
        <v>3.8932830329955181</v>
      </c>
    </row>
    <row r="35" spans="1:28" x14ac:dyDescent="0.2">
      <c r="A35">
        <v>6</v>
      </c>
      <c r="B35">
        <v>50</v>
      </c>
      <c r="C35">
        <v>0.4</v>
      </c>
      <c r="D35">
        <v>89.9</v>
      </c>
      <c r="E35">
        <v>0.6</v>
      </c>
      <c r="F35">
        <f t="shared" si="0"/>
        <v>50</v>
      </c>
      <c r="G35">
        <f t="shared" si="1"/>
        <v>39.200000000000003</v>
      </c>
      <c r="H35">
        <f t="shared" si="2"/>
        <v>3.5494509094536761</v>
      </c>
      <c r="I35">
        <f t="shared" si="3"/>
        <v>0.10704000000000001</v>
      </c>
      <c r="J35">
        <v>6.78</v>
      </c>
      <c r="L35">
        <v>2.7807674889379199</v>
      </c>
      <c r="M35">
        <v>1.47304764213508</v>
      </c>
      <c r="N35">
        <v>80.418773691611193</v>
      </c>
      <c r="P35">
        <v>2.9022000000000001</v>
      </c>
      <c r="Q35">
        <v>1.3089</v>
      </c>
      <c r="R35">
        <f t="shared" si="4"/>
        <v>94.4561902306083</v>
      </c>
      <c r="T35" s="2">
        <f t="shared" si="5"/>
        <v>4.1841537820301911</v>
      </c>
      <c r="U35" s="2">
        <f t="shared" si="6"/>
        <v>12.540884875474065</v>
      </c>
      <c r="W35">
        <v>2.8235123157501221</v>
      </c>
      <c r="X35">
        <v>1.3617532253265381</v>
      </c>
      <c r="Y35">
        <f t="shared" si="7"/>
        <v>88.328494582250812</v>
      </c>
      <c r="AA35" s="2">
        <f t="shared" si="8"/>
        <v>2.7113115653600044</v>
      </c>
      <c r="AB35" s="2">
        <f t="shared" si="9"/>
        <v>4.037988030142726</v>
      </c>
    </row>
    <row r="36" spans="1:28" ht="15" customHeight="1" x14ac:dyDescent="0.2">
      <c r="A36">
        <v>6</v>
      </c>
      <c r="B36">
        <v>50</v>
      </c>
      <c r="C36">
        <v>0.4</v>
      </c>
      <c r="D36">
        <v>89.9</v>
      </c>
      <c r="E36">
        <v>0.8</v>
      </c>
      <c r="F36">
        <f t="shared" si="0"/>
        <v>50</v>
      </c>
      <c r="G36">
        <f t="shared" si="1"/>
        <v>37.200000000000003</v>
      </c>
      <c r="H36">
        <f t="shared" si="2"/>
        <v>3.2959792718889176</v>
      </c>
      <c r="I36">
        <f t="shared" si="3"/>
        <v>0.10464000000000001</v>
      </c>
      <c r="J36">
        <v>6.78</v>
      </c>
      <c r="L36">
        <v>2.53241125618172</v>
      </c>
      <c r="M36">
        <v>1.48300191773088</v>
      </c>
      <c r="N36">
        <v>72.744821879839904</v>
      </c>
      <c r="P36">
        <v>2.641</v>
      </c>
      <c r="Q36">
        <v>1.1476999999999999</v>
      </c>
      <c r="R36">
        <f t="shared" si="4"/>
        <v>98.027871854575253</v>
      </c>
      <c r="T36" s="2">
        <f t="shared" si="5"/>
        <v>4.111652548969329</v>
      </c>
      <c r="U36" s="2">
        <f t="shared" si="6"/>
        <v>29.215118735809014</v>
      </c>
      <c r="W36">
        <v>2.584694623947144</v>
      </c>
      <c r="X36">
        <v>1.2065291404724121</v>
      </c>
      <c r="Y36">
        <f t="shared" si="7"/>
        <v>91.260108072584558</v>
      </c>
      <c r="AA36" s="2">
        <f t="shared" si="8"/>
        <v>2.1319718308540714</v>
      </c>
      <c r="AB36" s="2">
        <f t="shared" si="9"/>
        <v>5.1258290905647961</v>
      </c>
    </row>
    <row r="37" spans="1:28" x14ac:dyDescent="0.2">
      <c r="A37">
        <v>6</v>
      </c>
      <c r="B37">
        <v>60</v>
      </c>
      <c r="C37">
        <v>0.4</v>
      </c>
      <c r="D37">
        <v>9.9</v>
      </c>
      <c r="E37">
        <v>0.4</v>
      </c>
      <c r="F37">
        <f t="shared" si="0"/>
        <v>60</v>
      </c>
      <c r="G37">
        <f t="shared" si="1"/>
        <v>51.2</v>
      </c>
      <c r="H37">
        <f t="shared" si="2"/>
        <v>4.8414944265041715</v>
      </c>
      <c r="I37">
        <f t="shared" si="3"/>
        <v>0.13344</v>
      </c>
      <c r="J37">
        <v>6.78</v>
      </c>
      <c r="L37">
        <v>5.3885781262674399</v>
      </c>
      <c r="M37">
        <v>3.2962784551161501</v>
      </c>
      <c r="N37">
        <v>69.640175067879696</v>
      </c>
      <c r="P37">
        <v>5.6957000000000004</v>
      </c>
      <c r="Q37">
        <v>3.1934</v>
      </c>
      <c r="R37">
        <f t="shared" si="4"/>
        <v>75.980708729842561</v>
      </c>
      <c r="T37" s="2">
        <f t="shared" si="5"/>
        <v>5.3921708259311494</v>
      </c>
      <c r="U37" s="2">
        <f t="shared" si="6"/>
        <v>3.2215962646755849</v>
      </c>
      <c r="W37">
        <v>5.4683771133422852</v>
      </c>
      <c r="X37">
        <v>3.3716306686401372</v>
      </c>
      <c r="Y37">
        <f t="shared" si="7"/>
        <v>69.092040074397261</v>
      </c>
      <c r="AA37" s="2">
        <f t="shared" si="8"/>
        <v>3.9911316722740882</v>
      </c>
      <c r="AB37" s="2">
        <f t="shared" si="9"/>
        <v>5.5812196605541784</v>
      </c>
    </row>
    <row r="38" spans="1:28" x14ac:dyDescent="0.2">
      <c r="A38">
        <v>6</v>
      </c>
      <c r="B38">
        <v>65</v>
      </c>
      <c r="C38">
        <v>1.2</v>
      </c>
      <c r="D38">
        <v>49.9</v>
      </c>
      <c r="E38">
        <v>1</v>
      </c>
      <c r="F38">
        <f t="shared" si="0"/>
        <v>65</v>
      </c>
      <c r="G38">
        <f t="shared" si="1"/>
        <v>40.6</v>
      </c>
      <c r="H38">
        <f t="shared" si="2"/>
        <v>3.4283729994564838</v>
      </c>
      <c r="I38">
        <f t="shared" si="3"/>
        <v>4.224E-2</v>
      </c>
      <c r="J38">
        <v>6.78</v>
      </c>
      <c r="L38">
        <v>2.9712475703487198</v>
      </c>
      <c r="M38">
        <v>0.95500345718013102</v>
      </c>
      <c r="N38">
        <v>132.53892935910099</v>
      </c>
      <c r="P38">
        <v>3.0985</v>
      </c>
      <c r="Q38">
        <v>0.88224999999999998</v>
      </c>
      <c r="R38">
        <f t="shared" si="4"/>
        <v>149.61301959775122</v>
      </c>
      <c r="T38" s="2">
        <f t="shared" si="5"/>
        <v>4.1069042972819183</v>
      </c>
      <c r="U38" s="2">
        <f t="shared" si="6"/>
        <v>8.2463538883684944</v>
      </c>
      <c r="W38">
        <v>3.000944852828979</v>
      </c>
      <c r="X38">
        <v>0.92463088035583496</v>
      </c>
      <c r="Y38">
        <f t="shared" si="7"/>
        <v>138.26083511856322</v>
      </c>
      <c r="AA38" s="2">
        <f t="shared" si="8"/>
        <v>3.1484636814917213</v>
      </c>
      <c r="AB38" s="2">
        <f t="shared" si="9"/>
        <v>4.8037268751300637</v>
      </c>
    </row>
    <row r="39" spans="1:28" x14ac:dyDescent="0.2">
      <c r="A39">
        <v>6</v>
      </c>
      <c r="B39">
        <v>70</v>
      </c>
      <c r="C39">
        <v>0.6</v>
      </c>
      <c r="D39">
        <v>9.9</v>
      </c>
      <c r="E39">
        <v>0.6</v>
      </c>
      <c r="F39">
        <f t="shared" si="0"/>
        <v>70</v>
      </c>
      <c r="G39">
        <f t="shared" si="1"/>
        <v>56.8</v>
      </c>
      <c r="H39">
        <f t="shared" si="2"/>
        <v>5.227712817077304</v>
      </c>
      <c r="I39">
        <f t="shared" si="3"/>
        <v>0.10144000000000002</v>
      </c>
      <c r="J39">
        <v>6.78</v>
      </c>
      <c r="L39">
        <v>5.9225877249741297</v>
      </c>
      <c r="M39">
        <v>3.1760330185718901</v>
      </c>
      <c r="N39">
        <v>79.439418351335803</v>
      </c>
      <c r="P39">
        <v>6.2736000000000001</v>
      </c>
      <c r="Q39">
        <v>3.0428999999999999</v>
      </c>
      <c r="R39">
        <f t="shared" si="4"/>
        <v>87.829154013435073</v>
      </c>
      <c r="T39" s="2">
        <f t="shared" si="5"/>
        <v>5.5950694182904614</v>
      </c>
      <c r="U39" s="2">
        <f t="shared" si="6"/>
        <v>4.375201898579979</v>
      </c>
      <c r="W39">
        <v>5.9895129203796387</v>
      </c>
      <c r="X39">
        <v>3.2302484512329102</v>
      </c>
      <c r="Y39">
        <f t="shared" si="7"/>
        <v>78.988730508435808</v>
      </c>
      <c r="AA39" s="2">
        <f t="shared" si="8"/>
        <v>4.5282944341424605</v>
      </c>
      <c r="AB39" s="2">
        <f t="shared" si="9"/>
        <v>6.1569046381054333</v>
      </c>
    </row>
    <row r="40" spans="1:28" x14ac:dyDescent="0.2">
      <c r="A40">
        <v>6</v>
      </c>
      <c r="B40">
        <v>70</v>
      </c>
      <c r="C40">
        <v>0.4</v>
      </c>
      <c r="D40">
        <v>49.9</v>
      </c>
      <c r="E40">
        <v>0.4</v>
      </c>
      <c r="F40">
        <f t="shared" si="0"/>
        <v>70</v>
      </c>
      <c r="G40">
        <f t="shared" si="1"/>
        <v>61.2</v>
      </c>
      <c r="H40">
        <f t="shared" si="2"/>
        <v>5.8712752322424366</v>
      </c>
      <c r="I40">
        <f t="shared" si="3"/>
        <v>0.15744000000000002</v>
      </c>
      <c r="J40">
        <v>6.78</v>
      </c>
      <c r="L40">
        <v>6.5845068548894696</v>
      </c>
      <c r="M40">
        <v>4.2136468193349801</v>
      </c>
      <c r="N40">
        <v>66.569406556071399</v>
      </c>
      <c r="P40">
        <v>6.7918000000000003</v>
      </c>
      <c r="Q40">
        <v>4.2210999999999999</v>
      </c>
      <c r="R40">
        <f t="shared" si="4"/>
        <v>68.543898627471719</v>
      </c>
      <c r="T40" s="2">
        <f t="shared" si="5"/>
        <v>3.0521090890563718</v>
      </c>
      <c r="U40" s="2">
        <f t="shared" si="6"/>
        <v>0.1765696303101032</v>
      </c>
      <c r="W40">
        <v>6.8145890235900879</v>
      </c>
      <c r="X40">
        <v>4.4260163307189941</v>
      </c>
      <c r="Y40">
        <f t="shared" si="7"/>
        <v>65.589785737461199</v>
      </c>
      <c r="AA40" s="2">
        <f t="shared" si="8"/>
        <v>0.33553731838522349</v>
      </c>
      <c r="AB40" s="2">
        <f t="shared" si="9"/>
        <v>4.8545718111154512</v>
      </c>
    </row>
    <row r="41" spans="1:28" x14ac:dyDescent="0.2">
      <c r="A41">
        <v>7</v>
      </c>
      <c r="B41">
        <v>40</v>
      </c>
      <c r="C41">
        <v>0.8</v>
      </c>
      <c r="D41">
        <v>30</v>
      </c>
      <c r="E41">
        <v>0.5</v>
      </c>
      <c r="F41">
        <f t="shared" si="0"/>
        <v>40</v>
      </c>
      <c r="G41">
        <f t="shared" si="1"/>
        <v>22.799999999999997</v>
      </c>
      <c r="H41">
        <f t="shared" si="2"/>
        <v>2.5894542114362764</v>
      </c>
      <c r="I41">
        <f t="shared" si="3"/>
        <v>3.7680000000000005E-2</v>
      </c>
      <c r="J41">
        <v>6.78</v>
      </c>
      <c r="L41">
        <v>2.2012860359999999</v>
      </c>
      <c r="M41">
        <v>1.0064413999999999</v>
      </c>
      <c r="N41">
        <v>93.174602289999996</v>
      </c>
      <c r="P41">
        <v>2.2886000000000002</v>
      </c>
      <c r="Q41">
        <v>0.88000999999999996</v>
      </c>
      <c r="R41">
        <f t="shared" si="4"/>
        <v>110.78777520519267</v>
      </c>
      <c r="T41" s="2">
        <f t="shared" si="5"/>
        <v>3.8151692737918483</v>
      </c>
      <c r="U41" s="2">
        <f t="shared" si="6"/>
        <v>14.367041283621774</v>
      </c>
      <c r="W41">
        <v>2.4934344291687012</v>
      </c>
      <c r="X41">
        <v>1.001788854598999</v>
      </c>
      <c r="Y41">
        <f t="shared" si="7"/>
        <v>106.03062248444149</v>
      </c>
      <c r="AA41" s="2">
        <f t="shared" si="8"/>
        <v>8.9502066402473552</v>
      </c>
      <c r="AB41" s="2">
        <f t="shared" si="9"/>
        <v>13.838348950466367</v>
      </c>
    </row>
    <row r="42" spans="1:28" x14ac:dyDescent="0.2">
      <c r="A42">
        <v>7</v>
      </c>
      <c r="B42">
        <v>45</v>
      </c>
      <c r="C42">
        <v>1</v>
      </c>
      <c r="D42">
        <v>69.900000000000006</v>
      </c>
      <c r="E42">
        <v>1</v>
      </c>
      <c r="F42">
        <f t="shared" si="0"/>
        <v>45</v>
      </c>
      <c r="G42">
        <f t="shared" si="1"/>
        <v>19</v>
      </c>
      <c r="H42">
        <f t="shared" si="2"/>
        <v>2.1867933453845008</v>
      </c>
      <c r="I42">
        <f t="shared" si="3"/>
        <v>3.0720000000000004E-2</v>
      </c>
      <c r="J42">
        <v>6.78</v>
      </c>
      <c r="L42">
        <v>1.69672084667797</v>
      </c>
      <c r="M42">
        <v>0.63351696028414195</v>
      </c>
      <c r="N42">
        <v>114.093712500572</v>
      </c>
      <c r="P42">
        <v>1.7685999999999999</v>
      </c>
      <c r="Q42">
        <v>0.62580999999999998</v>
      </c>
      <c r="R42">
        <f t="shared" si="4"/>
        <v>120.39173601764369</v>
      </c>
      <c r="T42" s="2">
        <f t="shared" si="5"/>
        <v>4.064183722833314</v>
      </c>
      <c r="U42" s="2">
        <f t="shared" si="6"/>
        <v>1.231517598654859</v>
      </c>
      <c r="W42">
        <v>1.699249267578125</v>
      </c>
      <c r="X42">
        <v>0.6909172534942627</v>
      </c>
      <c r="Y42">
        <f t="shared" si="7"/>
        <v>104.77088399687854</v>
      </c>
      <c r="AA42" s="2">
        <f t="shared" si="8"/>
        <v>3.9212220073433763</v>
      </c>
      <c r="AB42" s="2">
        <f t="shared" si="9"/>
        <v>10.403677393180473</v>
      </c>
    </row>
    <row r="43" spans="1:28" x14ac:dyDescent="0.2">
      <c r="A43">
        <v>7</v>
      </c>
      <c r="B43">
        <v>50</v>
      </c>
      <c r="C43">
        <v>0.8</v>
      </c>
      <c r="D43">
        <v>89.9</v>
      </c>
      <c r="E43">
        <v>1.2</v>
      </c>
      <c r="F43">
        <f t="shared" si="0"/>
        <v>50</v>
      </c>
      <c r="G43">
        <f t="shared" si="1"/>
        <v>24.4</v>
      </c>
      <c r="H43">
        <f t="shared" si="2"/>
        <v>2.764603649101796</v>
      </c>
      <c r="I43">
        <f t="shared" si="3"/>
        <v>4.4640000000000006E-2</v>
      </c>
      <c r="J43">
        <v>6.78</v>
      </c>
      <c r="L43">
        <v>2.0876896029905501</v>
      </c>
      <c r="M43">
        <v>0.79198719831059505</v>
      </c>
      <c r="N43">
        <v>112.294200872516</v>
      </c>
      <c r="P43">
        <v>2.1833999999999998</v>
      </c>
      <c r="Q43">
        <v>0.77592000000000005</v>
      </c>
      <c r="R43">
        <f t="shared" si="4"/>
        <v>119.87425316438599</v>
      </c>
      <c r="T43" s="2">
        <f t="shared" si="5"/>
        <v>4.3835484569684775</v>
      </c>
      <c r="U43" s="2">
        <f t="shared" si="6"/>
        <v>2.0707287233986746</v>
      </c>
      <c r="W43">
        <v>2.0686521530151372</v>
      </c>
      <c r="X43">
        <v>0.83330827951431274</v>
      </c>
      <c r="Y43">
        <f t="shared" si="7"/>
        <v>105.75266668847046</v>
      </c>
      <c r="AA43" s="2">
        <f t="shared" si="8"/>
        <v>5.2554661072118085</v>
      </c>
      <c r="AB43" s="2">
        <f t="shared" si="9"/>
        <v>7.3961593352810455</v>
      </c>
    </row>
    <row r="44" spans="1:28" x14ac:dyDescent="0.2">
      <c r="A44">
        <v>7</v>
      </c>
      <c r="B44">
        <v>55</v>
      </c>
      <c r="C44">
        <v>1.2</v>
      </c>
      <c r="D44">
        <v>9.9</v>
      </c>
      <c r="E44">
        <v>0.8</v>
      </c>
      <c r="F44">
        <f t="shared" si="0"/>
        <v>55</v>
      </c>
      <c r="G44">
        <f t="shared" si="1"/>
        <v>28.6</v>
      </c>
      <c r="H44">
        <f t="shared" si="2"/>
        <v>3.2353350990390042</v>
      </c>
      <c r="I44">
        <f t="shared" si="3"/>
        <v>3.3439999999999998E-2</v>
      </c>
      <c r="J44">
        <v>6.78</v>
      </c>
      <c r="L44">
        <v>3.0381115043517499</v>
      </c>
      <c r="M44">
        <v>1.7040103415072201</v>
      </c>
      <c r="N44">
        <v>75.952320207798294</v>
      </c>
      <c r="P44">
        <v>3.1640000000000001</v>
      </c>
      <c r="Q44">
        <v>1.0865</v>
      </c>
      <c r="R44">
        <f t="shared" si="4"/>
        <v>124.05557869819053</v>
      </c>
      <c r="T44" s="2">
        <f t="shared" si="5"/>
        <v>3.9787767271886918</v>
      </c>
      <c r="U44" s="2">
        <f t="shared" si="6"/>
        <v>56.834822043922692</v>
      </c>
      <c r="W44">
        <v>3.102859258651733</v>
      </c>
      <c r="X44">
        <v>1.861116290092468</v>
      </c>
      <c r="Y44">
        <f t="shared" si="7"/>
        <v>71.022854210349138</v>
      </c>
      <c r="AA44" s="2">
        <f t="shared" si="8"/>
        <v>1.9323875268099617</v>
      </c>
      <c r="AB44" s="2">
        <f t="shared" si="9"/>
        <v>71.294642438331152</v>
      </c>
    </row>
    <row r="45" spans="1:28" x14ac:dyDescent="0.2">
      <c r="A45">
        <v>7</v>
      </c>
      <c r="B45">
        <v>55</v>
      </c>
      <c r="C45">
        <v>1.2</v>
      </c>
      <c r="D45">
        <v>9.9</v>
      </c>
      <c r="E45">
        <v>1</v>
      </c>
      <c r="F45">
        <f t="shared" si="0"/>
        <v>55</v>
      </c>
      <c r="G45">
        <f t="shared" si="1"/>
        <v>26.2</v>
      </c>
      <c r="H45">
        <f t="shared" si="2"/>
        <v>2.972947788857744</v>
      </c>
      <c r="I45">
        <f t="shared" si="3"/>
        <v>3.2480000000000009E-2</v>
      </c>
      <c r="J45">
        <v>6.78</v>
      </c>
      <c r="L45">
        <v>2.73509094999753</v>
      </c>
      <c r="M45">
        <v>1.0074069773868899</v>
      </c>
      <c r="N45">
        <v>115.658187000467</v>
      </c>
      <c r="P45">
        <v>2.8702000000000001</v>
      </c>
      <c r="Q45">
        <v>1.0416000000000001</v>
      </c>
      <c r="R45">
        <f t="shared" si="4"/>
        <v>117.38720001137789</v>
      </c>
      <c r="T45" s="2">
        <f t="shared" si="5"/>
        <v>4.7073043691195764</v>
      </c>
      <c r="U45" s="2">
        <f t="shared" si="6"/>
        <v>3.2827402662356167</v>
      </c>
      <c r="W45">
        <v>2.7647426128387451</v>
      </c>
      <c r="X45">
        <v>1.183271527290344</v>
      </c>
      <c r="Y45">
        <f t="shared" si="7"/>
        <v>99.535922719780757</v>
      </c>
      <c r="AA45" s="2">
        <f t="shared" si="8"/>
        <v>3.6742173772299824</v>
      </c>
      <c r="AB45" s="2">
        <f t="shared" si="9"/>
        <v>13.601337105447767</v>
      </c>
    </row>
    <row r="46" spans="1:28" x14ac:dyDescent="0.2">
      <c r="A46">
        <v>7</v>
      </c>
      <c r="B46">
        <v>60</v>
      </c>
      <c r="C46">
        <v>1</v>
      </c>
      <c r="D46">
        <v>40</v>
      </c>
      <c r="E46">
        <v>0.7</v>
      </c>
      <c r="F46">
        <f t="shared" si="0"/>
        <v>60</v>
      </c>
      <c r="G46">
        <f t="shared" si="1"/>
        <v>37.6</v>
      </c>
      <c r="H46">
        <f t="shared" si="2"/>
        <v>4.3241191213061878</v>
      </c>
      <c r="I46">
        <f t="shared" si="3"/>
        <v>4.6848000000000008E-2</v>
      </c>
      <c r="J46">
        <v>6.78</v>
      </c>
      <c r="L46">
        <v>4.0419453660000002</v>
      </c>
      <c r="M46">
        <v>1.6846081799999999</v>
      </c>
      <c r="N46">
        <v>102.211814</v>
      </c>
      <c r="P46">
        <v>4.2053000000000003</v>
      </c>
      <c r="Q46">
        <v>1.5207999999999999</v>
      </c>
      <c r="R46">
        <f t="shared" si="4"/>
        <v>117.797055321</v>
      </c>
      <c r="T46" s="2">
        <f t="shared" si="5"/>
        <v>3.8844941859082596</v>
      </c>
      <c r="U46" s="2">
        <f t="shared" si="6"/>
        <v>10.771184902682798</v>
      </c>
      <c r="W46">
        <v>4.0099797248840332</v>
      </c>
      <c r="X46">
        <v>1.601717591285706</v>
      </c>
      <c r="Y46">
        <f t="shared" si="7"/>
        <v>106.65120979509615</v>
      </c>
      <c r="AA46" s="2">
        <f t="shared" si="8"/>
        <v>4.6446216706529153</v>
      </c>
      <c r="AB46" s="2">
        <f t="shared" si="9"/>
        <v>5.3207253607118679</v>
      </c>
    </row>
    <row r="47" spans="1:28" x14ac:dyDescent="0.2">
      <c r="A47">
        <v>7</v>
      </c>
      <c r="B47">
        <v>70</v>
      </c>
      <c r="C47">
        <v>0.8</v>
      </c>
      <c r="D47">
        <v>69.900000000000006</v>
      </c>
      <c r="E47">
        <v>0.6</v>
      </c>
      <c r="F47">
        <f t="shared" si="0"/>
        <v>70</v>
      </c>
      <c r="G47">
        <f t="shared" si="1"/>
        <v>51.6</v>
      </c>
      <c r="H47">
        <f t="shared" si="2"/>
        <v>6.201265482527119</v>
      </c>
      <c r="I47">
        <f t="shared" si="3"/>
        <v>7.2960000000000011E-2</v>
      </c>
      <c r="J47">
        <v>6.78</v>
      </c>
      <c r="L47">
        <v>6.1258041495045497</v>
      </c>
      <c r="M47">
        <v>3.1521430739765401</v>
      </c>
      <c r="N47">
        <v>82.787877480661393</v>
      </c>
      <c r="P47">
        <v>6.5359999999999996</v>
      </c>
      <c r="Q47">
        <v>3.1206999999999998</v>
      </c>
      <c r="R47">
        <f t="shared" si="4"/>
        <v>89.221511714556357</v>
      </c>
      <c r="T47" s="2">
        <f t="shared" si="5"/>
        <v>6.2759463050099438</v>
      </c>
      <c r="U47" s="2">
        <f t="shared" si="6"/>
        <v>1.0075647763815918</v>
      </c>
      <c r="W47">
        <v>6.3505568504333496</v>
      </c>
      <c r="X47">
        <v>3.3231453895568852</v>
      </c>
      <c r="Y47">
        <f t="shared" si="7"/>
        <v>81.408925138155098</v>
      </c>
      <c r="AA47" s="2">
        <f t="shared" si="8"/>
        <v>2.8372574903098222</v>
      </c>
      <c r="AB47" s="2">
        <f t="shared" si="9"/>
        <v>6.4871788238819947</v>
      </c>
    </row>
    <row r="48" spans="1:28" x14ac:dyDescent="0.2">
      <c r="A48">
        <v>7</v>
      </c>
      <c r="B48">
        <v>80</v>
      </c>
      <c r="C48">
        <v>1</v>
      </c>
      <c r="D48">
        <v>49.9</v>
      </c>
      <c r="E48">
        <v>1</v>
      </c>
      <c r="F48">
        <f t="shared" si="0"/>
        <v>80</v>
      </c>
      <c r="G48">
        <f t="shared" si="1"/>
        <v>54</v>
      </c>
      <c r="H48">
        <f t="shared" si="2"/>
        <v>6.3127025678602786</v>
      </c>
      <c r="I48">
        <f t="shared" si="3"/>
        <v>6.4320000000000016E-2</v>
      </c>
      <c r="J48">
        <v>6.78</v>
      </c>
      <c r="L48">
        <v>6.5432734498036504</v>
      </c>
      <c r="M48">
        <v>2.8876869927254898</v>
      </c>
      <c r="N48">
        <v>96.528268470475297</v>
      </c>
      <c r="P48">
        <v>6.9462000000000002</v>
      </c>
      <c r="Q48">
        <v>2.9068999999999998</v>
      </c>
      <c r="R48">
        <f t="shared" si="4"/>
        <v>101.79507028989894</v>
      </c>
      <c r="T48" s="2">
        <f t="shared" si="5"/>
        <v>5.8006759119568931</v>
      </c>
      <c r="U48" s="2">
        <f t="shared" si="6"/>
        <v>0.66094489918848365</v>
      </c>
      <c r="W48">
        <v>6.7300195693969727</v>
      </c>
      <c r="X48">
        <v>3.0132348537445068</v>
      </c>
      <c r="Y48">
        <f t="shared" si="7"/>
        <v>95.146518056775179</v>
      </c>
      <c r="AA48" s="2">
        <f t="shared" si="8"/>
        <v>3.1122114336331732</v>
      </c>
      <c r="AB48" s="2">
        <f t="shared" si="9"/>
        <v>3.6580155404213088</v>
      </c>
    </row>
    <row r="49" spans="1:28" x14ac:dyDescent="0.2">
      <c r="A49">
        <v>7</v>
      </c>
      <c r="B49">
        <v>100</v>
      </c>
      <c r="C49">
        <v>0.8</v>
      </c>
      <c r="D49">
        <v>80</v>
      </c>
      <c r="E49">
        <v>0.5</v>
      </c>
      <c r="F49">
        <f t="shared" si="0"/>
        <v>100</v>
      </c>
      <c r="G49">
        <f t="shared" si="1"/>
        <v>82.800000000000011</v>
      </c>
      <c r="H49">
        <f t="shared" si="2"/>
        <v>10.481000473329969</v>
      </c>
      <c r="I49">
        <f t="shared" si="3"/>
        <v>0.10968000000000003</v>
      </c>
      <c r="J49">
        <v>6.78</v>
      </c>
      <c r="L49">
        <v>53.814924410000003</v>
      </c>
      <c r="M49">
        <v>310.10436390000001</v>
      </c>
      <c r="N49">
        <v>7.3927227489999998</v>
      </c>
      <c r="P49">
        <v>25.117999999999999</v>
      </c>
      <c r="Q49">
        <v>49.35</v>
      </c>
      <c r="R49">
        <f t="shared" si="4"/>
        <v>21.682405083838052</v>
      </c>
      <c r="T49" s="2">
        <f t="shared" si="5"/>
        <v>114.24844497969586</v>
      </c>
      <c r="U49" s="2">
        <f t="shared" si="6"/>
        <v>528.37763708206683</v>
      </c>
      <c r="W49">
        <v>16.826993942260739</v>
      </c>
      <c r="X49">
        <v>16.23152923583984</v>
      </c>
      <c r="Y49">
        <f t="shared" si="7"/>
        <v>44.162805514409442</v>
      </c>
      <c r="AA49" s="2">
        <f t="shared" si="8"/>
        <v>33.008225407035837</v>
      </c>
      <c r="AB49" s="2">
        <f t="shared" si="9"/>
        <v>67.109363250577843</v>
      </c>
    </row>
    <row r="50" spans="1:28" x14ac:dyDescent="0.2">
      <c r="T50" t="s">
        <v>22</v>
      </c>
      <c r="U50" t="s">
        <v>23</v>
      </c>
      <c r="W50"/>
      <c r="AA50" t="s">
        <v>22</v>
      </c>
      <c r="AB50" t="s">
        <v>23</v>
      </c>
    </row>
    <row r="51" spans="1:28" x14ac:dyDescent="0.2">
      <c r="T51" s="2">
        <f>AVERAGEIF(T3:T49, "&lt;=50", T3:T49)</f>
        <v>6.1365574141374859</v>
      </c>
      <c r="U51" s="2">
        <f>AVERAGEIF(U3:U49, "&lt;=50", U3:U49)</f>
        <v>9.3641724638717125</v>
      </c>
      <c r="W51"/>
      <c r="AA51" s="2">
        <f>AVERAGEIF(AA3:AA49, "&lt;=50", AA3:AA49)</f>
        <v>7.2448324400878743</v>
      </c>
      <c r="AB51" s="2">
        <f>AVERAGEIF(AB3:AB49, "&lt;=50", AB3:AB49)</f>
        <v>11.681832499286866</v>
      </c>
    </row>
  </sheetData>
  <phoneticPr fontId="1" type="noConversion"/>
  <conditionalFormatting sqref="T3:U49">
    <cfRule type="expression" dxfId="1" priority="2">
      <formula>OR($T3&gt;=30, $U3&gt;=30)</formula>
    </cfRule>
  </conditionalFormatting>
  <conditionalFormatting sqref="AA3:AB49 AA51:AB51">
    <cfRule type="expression" dxfId="0" priority="1">
      <formula>OR($AA3&gt;=30, $AB3&gt;=30)</formula>
    </cfRule>
  </conditionalFormatting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仿真数据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yao W</dc:creator>
  <cp:lastModifiedBy>yao W</cp:lastModifiedBy>
  <dcterms:created xsi:type="dcterms:W3CDTF">2026-03-20T02:28:55Z</dcterms:created>
  <dcterms:modified xsi:type="dcterms:W3CDTF">2026-04-02T09:05:54Z</dcterms:modified>
</cp:coreProperties>
</file>