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仿真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topLeftCell="A15" zoomScaleNormal="100" workbookViewId="0">
      <selection activeCell="I34" sqref="I34"/>
    </sheetView>
  </sheetViews>
  <sheetFormatPr baseColWidth="8" defaultColWidth="8.625" defaultRowHeight="14.25"/>
  <cols>
    <col width="17.875" customWidth="1" style="1" min="20" max="20"/>
    <col width="18" customWidth="1" style="1" min="21" max="21"/>
    <col width="10.625" customWidth="1" style="1" min="23" max="23"/>
    <col width="16.375" customWidth="1" style="1" min="27" max="27"/>
    <col width="17" customWidth="1" style="1" min="28" max="28"/>
  </cols>
  <sheetData>
    <row r="1">
      <c r="A1" s="0" t="inlineStr">
        <is>
          <t>仿真值</t>
        </is>
      </c>
      <c r="P1" s="0" t="inlineStr">
        <is>
          <t>实测值</t>
        </is>
      </c>
      <c r="T1" s="0" t="inlineStr">
        <is>
          <t>仿真值与实测值的相对误差</t>
        </is>
      </c>
      <c r="W1" s="0" t="inlineStr">
        <is>
          <t>模型预测值</t>
        </is>
      </c>
      <c r="AA1" s="0" t="inlineStr">
        <is>
          <t>模型预测值与实测值的相对误差</t>
        </is>
      </c>
    </row>
    <row r="2">
      <c r="A2" s="0" t="inlineStr">
        <is>
          <t>N</t>
        </is>
      </c>
      <c r="B2" s="0" t="inlineStr">
        <is>
          <t>a [mm]</t>
        </is>
      </c>
      <c r="C2" s="0" t="inlineStr">
        <is>
          <t>d [mm]</t>
        </is>
      </c>
      <c r="D2" s="0" t="inlineStr">
        <is>
          <t>my_theta [deg]</t>
        </is>
      </c>
      <c r="E2" s="0" t="inlineStr">
        <is>
          <t>p [mm]</t>
        </is>
      </c>
      <c r="F2" s="0" t="inlineStr">
        <is>
          <t>d_out [mm]</t>
        </is>
      </c>
      <c r="G2" s="0" t="inlineStr">
        <is>
          <t>d_in [mm]</t>
        </is>
      </c>
      <c r="H2" s="0" t="inlineStr">
        <is>
          <t>L_dc [uH]</t>
        </is>
      </c>
      <c r="I2" s="0" t="inlineStr">
        <is>
          <t>R_dc [Ω]</t>
        </is>
      </c>
      <c r="J2" s="0" t="inlineStr">
        <is>
          <t>Freq [MHz]</t>
        </is>
      </c>
      <c r="L2" s="0" t="inlineStr">
        <is>
          <t>L [uH]</t>
        </is>
      </c>
      <c r="M2" s="0" t="inlineStr">
        <is>
          <t>R [Ω]</t>
        </is>
      </c>
      <c r="N2" s="0" t="inlineStr">
        <is>
          <t>Q</t>
        </is>
      </c>
      <c r="P2" s="0" t="inlineStr">
        <is>
          <t>L[uH]</t>
        </is>
      </c>
      <c r="Q2" s="0" t="inlineStr">
        <is>
          <t>R[Ω]</t>
        </is>
      </c>
      <c r="R2" s="0" t="inlineStr">
        <is>
          <t>Q</t>
        </is>
      </c>
      <c r="T2" s="0" t="inlineStr">
        <is>
          <t>电感相对误差%</t>
        </is>
      </c>
      <c r="U2" s="0" t="inlineStr">
        <is>
          <t>电阻相对误差%</t>
        </is>
      </c>
      <c r="W2" s="0" t="inlineStr">
        <is>
          <t>L[uH]</t>
        </is>
      </c>
      <c r="X2" s="0" t="inlineStr">
        <is>
          <t>R[Ω]</t>
        </is>
      </c>
      <c r="Y2" s="0" t="inlineStr">
        <is>
          <t>Q</t>
        </is>
      </c>
      <c r="AA2" s="0" t="inlineStr">
        <is>
          <t>电感相对误差%</t>
        </is>
      </c>
      <c r="AB2" s="0" t="inlineStr">
        <is>
          <t>电阻相对误差%</t>
        </is>
      </c>
    </row>
    <row r="3">
      <c r="A3" s="0" t="n">
        <v>2</v>
      </c>
      <c r="B3" s="0" t="n">
        <v>30</v>
      </c>
      <c r="C3" s="0" t="n">
        <v>1.8</v>
      </c>
      <c r="D3" s="0" t="n">
        <v>49.9</v>
      </c>
      <c r="E3" s="0" t="n">
        <v>0.4</v>
      </c>
      <c r="F3" s="0">
        <f>B3</f>
        <v/>
      </c>
      <c r="G3" s="0">
        <f>F3-(A3-1)*2*(C3+E3)-2*C3</f>
        <v/>
      </c>
      <c r="H3" s="0">
        <f>2.34*0.000001257*(0.5*A3^2*(F3+G3))/(1+2.73*(F3-G3)/(F3+G3))*1000</f>
        <v/>
      </c>
      <c r="I3" s="0">
        <f>0.0000000168*4*0.5*(F3+G3)/(0.00007*C3)</f>
        <v/>
      </c>
      <c r="J3" s="0" t="n">
        <v>6.78</v>
      </c>
      <c r="L3" s="0" t="n">
        <v>0.018336879</v>
      </c>
      <c r="M3" s="0" t="n">
        <v>0.088597703</v>
      </c>
      <c r="N3" s="0" t="n">
        <v>8.816831317</v>
      </c>
      <c r="P3" s="0" t="n">
        <v>0.17976</v>
      </c>
      <c r="Q3" s="0" t="n">
        <v>0.086578</v>
      </c>
      <c r="R3" s="0">
        <f>6780000*2*3.1415926*P3*0.000001/Q3</f>
        <v/>
      </c>
      <c r="T3" s="3">
        <f>ABS(L3-P3)/P3*100</f>
        <v/>
      </c>
      <c r="U3" s="3">
        <f>ABS(M3-Q3)/Q3*100</f>
        <v/>
      </c>
      <c r="W3" s="0" t="n">
        <v>0.2480237632989883</v>
      </c>
      <c r="X3" s="0" t="n">
        <v>0.1059732288122177</v>
      </c>
      <c r="Y3" s="0">
        <f>6780000*2*3.1415926*W3*0.000001/X3</f>
        <v/>
      </c>
      <c r="AA3" s="3">
        <f>ABS(W3-P3)/P3*100</f>
        <v/>
      </c>
      <c r="AB3" s="3">
        <f>ABS(X3-Q3)/Q3*100</f>
        <v/>
      </c>
    </row>
    <row r="4">
      <c r="A4" s="0" t="n">
        <v>2</v>
      </c>
      <c r="B4" s="0" t="n">
        <v>30</v>
      </c>
      <c r="C4" s="0" t="n">
        <v>0.8</v>
      </c>
      <c r="D4" s="0" t="n">
        <v>69.90000000000001</v>
      </c>
      <c r="E4" s="0" t="n">
        <v>0.8</v>
      </c>
      <c r="F4" s="0">
        <f>B4</f>
        <v/>
      </c>
      <c r="G4" s="0">
        <f>F4-(A4-1)*2*(C4+E4)-2*C4</f>
        <v/>
      </c>
      <c r="H4" s="0">
        <f>2.34*0.000001257*(0.5*A4^2*(F4+G4))/(1+2.73*(F4-G4)/(F4+G4))*1000</f>
        <v/>
      </c>
      <c r="I4" s="0">
        <f>0.0000000168*4*0.5*(F4+G4)/(0.00007*C4)</f>
        <v/>
      </c>
      <c r="J4" s="0" t="n">
        <v>6.78</v>
      </c>
      <c r="L4" s="0" t="n">
        <v>0.018447351</v>
      </c>
      <c r="M4" s="0" t="n">
        <v>0.14243311</v>
      </c>
      <c r="N4" s="0" t="n">
        <v>5.517376481</v>
      </c>
      <c r="P4" s="0" t="n">
        <v>0.21932</v>
      </c>
      <c r="Q4" s="0" t="n">
        <v>0.13756</v>
      </c>
      <c r="R4" s="0">
        <f>6780000*2*3.1415926*P4*0.000001/Q4</f>
        <v/>
      </c>
      <c r="T4" s="3">
        <f>ABS(L4-P4)/P4*100</f>
        <v/>
      </c>
      <c r="U4" s="3">
        <f>ABS(M4-Q4)/Q4*100</f>
        <v/>
      </c>
      <c r="W4" s="0" t="n">
        <v>0.2480237632989883</v>
      </c>
      <c r="X4" s="0" t="n">
        <v>0.1059732288122177</v>
      </c>
      <c r="Y4" s="0">
        <f>6780000*2*3.1415926*W4*0.000001/X4</f>
        <v/>
      </c>
      <c r="AA4" s="3">
        <f>ABS(W4-P4)/P4*100</f>
        <v/>
      </c>
      <c r="AB4" s="3">
        <f>ABS(X4-Q4)/Q4*100</f>
        <v/>
      </c>
    </row>
    <row r="5">
      <c r="A5" s="0" t="n">
        <v>2</v>
      </c>
      <c r="B5" s="0" t="n">
        <v>35</v>
      </c>
      <c r="C5" s="0" t="n">
        <v>1</v>
      </c>
      <c r="D5" s="0" t="n">
        <v>89.90000000000001</v>
      </c>
      <c r="E5" s="0" t="n">
        <v>1.2</v>
      </c>
      <c r="F5" s="0">
        <f>B5</f>
        <v/>
      </c>
      <c r="G5" s="0">
        <f>F5-(A5-1)*2*(C5+E5)-2*C5</f>
        <v/>
      </c>
      <c r="H5" s="0">
        <f>2.34*0.000001257*(0.5*A5^2*(F5+G5))/(1+2.73*(F5-G5)/(F5+G5))*1000</f>
        <v/>
      </c>
      <c r="I5" s="0">
        <f>0.0000000168*4*0.5*(F5+G5)/(0.00007*C5)</f>
        <v/>
      </c>
      <c r="J5" s="0" t="n">
        <v>6.78</v>
      </c>
      <c r="L5" s="0" t="n">
        <v>0.203606044</v>
      </c>
      <c r="M5" s="0" t="n">
        <v>0.101737501</v>
      </c>
      <c r="N5" s="0" t="n">
        <v>85.25486278</v>
      </c>
      <c r="P5" s="0" t="n">
        <v>0.23284</v>
      </c>
      <c r="Q5" s="0" t="n">
        <v>0.12097</v>
      </c>
      <c r="R5" s="0">
        <f>6780000*2*3.1415926*P5*0.000001/Q5</f>
        <v/>
      </c>
      <c r="T5" s="3">
        <f>ABS(L5-P5)/P5*100</f>
        <v/>
      </c>
      <c r="U5" s="3">
        <f>ABS(M5-Q5)/Q5*100</f>
        <v/>
      </c>
      <c r="W5" s="0" t="n">
        <v>0.2480237632989883</v>
      </c>
      <c r="X5" s="0" t="n">
        <v>0.1059732288122177</v>
      </c>
      <c r="Y5" s="0">
        <f>6780000*2*3.1415926*W5*0.000001/X5</f>
        <v/>
      </c>
      <c r="AA5" s="3">
        <f>ABS(W5-P5)/P5*100</f>
        <v/>
      </c>
      <c r="AB5" s="3">
        <f>ABS(X5-Q5)/Q5*100</f>
        <v/>
      </c>
    </row>
    <row r="6">
      <c r="A6" s="0" t="n">
        <v>2</v>
      </c>
      <c r="B6" s="0" t="n">
        <v>40</v>
      </c>
      <c r="C6" s="0" t="n">
        <v>1.8</v>
      </c>
      <c r="D6" s="0" t="n">
        <v>69.90000000000001</v>
      </c>
      <c r="E6" s="0" t="n">
        <v>1.2</v>
      </c>
      <c r="F6" s="0">
        <f>B6</f>
        <v/>
      </c>
      <c r="G6" s="0">
        <f>F6-(A6-1)*2*(C6+E6)-2*C6</f>
        <v/>
      </c>
      <c r="H6" s="0">
        <f>2.34*0.000001257*(0.5*A6^2*(F6+G6))/(1+2.73*(F6-G6)/(F6+G6))*1000</f>
        <v/>
      </c>
      <c r="I6" s="0">
        <f>0.0000000168*4*0.5*(F6+G6)/(0.00007*C6)</f>
        <v/>
      </c>
      <c r="J6" s="0" t="n">
        <v>6.78</v>
      </c>
      <c r="L6" s="0" t="n">
        <v>0.220095424</v>
      </c>
      <c r="M6" s="0" t="n">
        <v>0.081930592</v>
      </c>
      <c r="N6" s="0" t="n">
        <v>114.4391132</v>
      </c>
      <c r="P6" s="0" t="n">
        <v>0.24548</v>
      </c>
      <c r="Q6" s="0" t="n">
        <v>0.098413</v>
      </c>
      <c r="R6" s="0">
        <f>6780000*2*3.1415926*P6*0.000001/Q6</f>
        <v/>
      </c>
      <c r="T6" s="3">
        <f>ABS(L6-P6)/P6*100</f>
        <v/>
      </c>
      <c r="U6" s="3">
        <f>ABS(M6-Q6)/Q6*100</f>
        <v/>
      </c>
      <c r="W6" s="0" t="n">
        <v>0.2480237632989883</v>
      </c>
      <c r="X6" s="0" t="n">
        <v>0.1059732288122177</v>
      </c>
      <c r="Y6" s="0">
        <f>6780000*2*3.1415926*W6*0.000001/X6</f>
        <v/>
      </c>
      <c r="AA6" s="3">
        <f>ABS(W6-P6)/P6*100</f>
        <v/>
      </c>
      <c r="AB6" s="3">
        <f>ABS(X6-Q6)/Q6*100</f>
        <v/>
      </c>
    </row>
    <row r="7">
      <c r="A7" s="0" t="n">
        <v>2</v>
      </c>
      <c r="B7" s="0" t="n">
        <v>45</v>
      </c>
      <c r="C7" s="0" t="n">
        <v>0.8</v>
      </c>
      <c r="D7" s="0" t="n">
        <v>9.9</v>
      </c>
      <c r="E7" s="0" t="n">
        <v>0.6</v>
      </c>
      <c r="F7" s="0">
        <f>B7</f>
        <v/>
      </c>
      <c r="G7" s="0">
        <f>F7-(A7-1)*2*(C7+E7)-2*C7</f>
        <v/>
      </c>
      <c r="H7" s="0">
        <f>2.34*0.000001257*(0.5*A7^2*(F7+G7))/(1+2.73*(F7-G7)/(F7+G7))*1000</f>
        <v/>
      </c>
      <c r="I7" s="0">
        <f>0.0000000168*4*0.5*(F7+G7)/(0.00007*C7)</f>
        <v/>
      </c>
      <c r="J7" s="0" t="n">
        <v>6.78</v>
      </c>
      <c r="L7" s="0" t="n">
        <v>0.39931357</v>
      </c>
      <c r="M7" s="0" t="n">
        <v>0.189874984</v>
      </c>
      <c r="N7" s="0" t="n">
        <v>89.58924617</v>
      </c>
      <c r="P7" s="0" t="n">
        <v>0.43146</v>
      </c>
      <c r="Q7" s="0" t="n">
        <v>0.2239</v>
      </c>
      <c r="R7" s="0">
        <f>6780000*2*3.1415926*P7*0.000001/Q7</f>
        <v/>
      </c>
      <c r="T7" s="3">
        <f>ABS(L7-P7)/P7*100</f>
        <v/>
      </c>
      <c r="U7" s="3">
        <f>ABS(M7-Q7)/Q7*100</f>
        <v/>
      </c>
      <c r="W7" s="0" t="n">
        <v>0.4167163372039795</v>
      </c>
      <c r="X7" s="0" t="n">
        <v>0.1964569985866547</v>
      </c>
      <c r="Y7" s="0">
        <f>6780000*2*3.1415926*W7*0.000001/X7</f>
        <v/>
      </c>
      <c r="AA7" s="3">
        <f>ABS(W7-P7)/P7*100</f>
        <v/>
      </c>
      <c r="AB7" s="3">
        <f>ABS(X7-Q7)/Q7*100</f>
        <v/>
      </c>
    </row>
    <row r="8">
      <c r="A8" s="0" t="n">
        <v>2</v>
      </c>
      <c r="B8" s="0" t="n">
        <v>50</v>
      </c>
      <c r="C8" s="0" t="n">
        <v>1.8</v>
      </c>
      <c r="D8" s="0" t="n">
        <v>9.9</v>
      </c>
      <c r="E8" s="0" t="n">
        <v>0.8</v>
      </c>
      <c r="F8" s="0">
        <f>B8</f>
        <v/>
      </c>
      <c r="G8" s="0">
        <f>F8-(A8-1)*2*(C8+E8)-2*C8</f>
        <v/>
      </c>
      <c r="H8" s="0">
        <f>2.34*0.000001257*(0.5*A8^2*(F8+G8))/(1+2.73*(F8-G8)/(F8+G8))*1000</f>
        <v/>
      </c>
      <c r="I8" s="0">
        <f>0.0000000168*4*0.5*(F8+G8)/(0.00007*C8)</f>
        <v/>
      </c>
      <c r="J8" s="0" t="n">
        <v>6.78</v>
      </c>
      <c r="L8" s="0" t="n">
        <v>0.367045831</v>
      </c>
      <c r="M8" s="0" t="n">
        <v>0.12008523</v>
      </c>
      <c r="N8" s="0" t="n">
        <v>130.2087783</v>
      </c>
      <c r="P8" s="0" t="n">
        <v>0.39315</v>
      </c>
      <c r="Q8" s="0" t="n">
        <v>0.13232</v>
      </c>
      <c r="R8" s="0">
        <f>6780000*2*3.1415926*P8*0.000001/Q8</f>
        <v/>
      </c>
      <c r="T8" s="3">
        <f>ABS(L8-P8)/P8*100</f>
        <v/>
      </c>
      <c r="U8" s="3">
        <f>ABS(M8-Q8)/Q8*100</f>
        <v/>
      </c>
      <c r="W8" s="0" t="n">
        <v>0.362203449010849</v>
      </c>
      <c r="X8" s="0" t="n">
        <v>0.1435880810022354</v>
      </c>
      <c r="Y8" s="0">
        <f>6780000*2*3.1415926*W8*0.000001/X8</f>
        <v/>
      </c>
      <c r="AA8" s="3">
        <f>ABS(W8-P8)/P8*100</f>
        <v/>
      </c>
      <c r="AB8" s="3">
        <f>ABS(X8-Q8)/Q8*100</f>
        <v/>
      </c>
    </row>
    <row r="9">
      <c r="A9" s="0" t="n">
        <v>2</v>
      </c>
      <c r="B9" s="0" t="n">
        <v>55</v>
      </c>
      <c r="C9" s="0" t="n">
        <v>1.8</v>
      </c>
      <c r="D9" s="0" t="n">
        <v>29.9</v>
      </c>
      <c r="E9" s="0" t="n">
        <v>0.4</v>
      </c>
      <c r="F9" s="0">
        <f>B9</f>
        <v/>
      </c>
      <c r="G9" s="0">
        <f>F9-(A9-1)*2*(C9+E9)-2*C9</f>
        <v/>
      </c>
      <c r="H9" s="0">
        <f>2.34*0.000001257*(0.5*A9^2*(F9+G9))/(1+2.73*(F9-G9)/(F9+G9))*1000</f>
        <v/>
      </c>
      <c r="I9" s="0">
        <f>0.0000000168*4*0.5*(F9+G9)/(0.00007*C9)</f>
        <v/>
      </c>
      <c r="J9" s="0" t="n">
        <v>6.78</v>
      </c>
      <c r="L9" s="0" t="n">
        <v>0.421598027</v>
      </c>
      <c r="M9" s="0" t="n">
        <v>0.126449279</v>
      </c>
      <c r="N9" s="0" t="n">
        <v>142.0338223</v>
      </c>
      <c r="P9" s="0" t="n">
        <v>0.45007</v>
      </c>
      <c r="Q9" s="0" t="n">
        <v>0.13995</v>
      </c>
      <c r="R9" s="0">
        <f>6780000*2*3.1415926*P9*0.000001/Q9</f>
        <v/>
      </c>
      <c r="T9" s="3">
        <f>ABS(L9-P9)/P9*100</f>
        <v/>
      </c>
      <c r="U9" s="3">
        <f>ABS(M9-Q9)/Q9*100</f>
        <v/>
      </c>
      <c r="W9" s="0" t="n">
        <v>0.4175807237625122</v>
      </c>
      <c r="X9" s="0" t="n">
        <v>0.161831334233284</v>
      </c>
      <c r="Y9" s="0">
        <f>6780000*2*3.1415926*W9*0.000001/X9</f>
        <v/>
      </c>
      <c r="AA9" s="3">
        <f>ABS(W9-P9)/P9*100</f>
        <v/>
      </c>
      <c r="AB9" s="3">
        <f>ABS(X9-Q9)/Q9*100</f>
        <v/>
      </c>
    </row>
    <row r="10">
      <c r="A10" s="0" t="n">
        <v>2</v>
      </c>
      <c r="B10" s="0" t="n">
        <v>60</v>
      </c>
      <c r="C10" s="0" t="n">
        <v>0.8</v>
      </c>
      <c r="D10" s="0" t="n">
        <v>89.90000000000001</v>
      </c>
      <c r="E10" s="0" t="n">
        <v>0.6</v>
      </c>
      <c r="F10" s="0">
        <f>B10</f>
        <v/>
      </c>
      <c r="G10" s="0">
        <f>F10-(A10-1)*2*(C10+E10)-2*C10</f>
        <v/>
      </c>
      <c r="H10" s="0">
        <f>2.34*0.000001257*(0.5*A10^2*(F10+G10))/(1+2.73*(F10-G10)/(F10+G10))*1000</f>
        <v/>
      </c>
      <c r="I10" s="0">
        <f>0.0000000168*4*0.5*(F10+G10)/(0.00007*C10)</f>
        <v/>
      </c>
      <c r="J10" s="0" t="n">
        <v>6.78</v>
      </c>
      <c r="L10" s="0" t="n">
        <v>0.491013502</v>
      </c>
      <c r="M10" s="0" t="n">
        <v>0.204016934</v>
      </c>
      <c r="N10" s="0" t="n">
        <v>102.5266529</v>
      </c>
      <c r="P10" s="0" t="n">
        <v>0.52566</v>
      </c>
      <c r="Q10" s="0" t="n">
        <v>0.21078</v>
      </c>
      <c r="R10" s="0">
        <f>6780000*2*3.1415926*P10*0.000001/Q10</f>
        <v/>
      </c>
      <c r="T10" s="3">
        <f>ABS(L10-P10)/P10*100</f>
        <v/>
      </c>
      <c r="U10" s="3">
        <f>ABS(M10-Q10)/Q10*100</f>
        <v/>
      </c>
      <c r="W10" s="0" t="n">
        <v>0.5007337927818298</v>
      </c>
      <c r="X10" s="0" t="n">
        <v>0.2231174558401108</v>
      </c>
      <c r="Y10" s="0">
        <f>6780000*2*3.1415926*W10*0.000001/X10</f>
        <v/>
      </c>
      <c r="AA10" s="3">
        <f>ABS(W10-P10)/P10*100</f>
        <v/>
      </c>
      <c r="AB10" s="3">
        <f>ABS(X10-Q10)/Q10*100</f>
        <v/>
      </c>
    </row>
    <row r="11">
      <c r="A11" s="0" t="n">
        <v>3</v>
      </c>
      <c r="B11" s="0" t="n">
        <v>30</v>
      </c>
      <c r="C11" s="0" t="n">
        <v>1</v>
      </c>
      <c r="D11" s="0" t="n">
        <v>9.9</v>
      </c>
      <c r="E11" s="0" t="n">
        <v>0.6</v>
      </c>
      <c r="F11" s="0">
        <f>B11</f>
        <v/>
      </c>
      <c r="G11" s="0">
        <f>F11-(A11-1)*2*(C11+E11)-2*C11</f>
        <v/>
      </c>
      <c r="H11" s="0">
        <f>2.34*0.000001257*(0.5*A11^2*(F11+G11))/(1+2.73*(F11-G11)/(F11+G11))*1000</f>
        <v/>
      </c>
      <c r="I11" s="0">
        <f>0.0000000168*4*0.5*(F11+G11)/(0.00007*C11)</f>
        <v/>
      </c>
      <c r="J11" s="0" t="n">
        <v>6.78</v>
      </c>
      <c r="L11" s="0" t="n">
        <v>0.300932387</v>
      </c>
      <c r="M11" s="0" t="n">
        <v>0.360287024</v>
      </c>
      <c r="N11" s="0" t="n">
        <v>35.58196036</v>
      </c>
      <c r="P11" s="0" t="n">
        <v>0.41281</v>
      </c>
      <c r="Q11" s="0" t="n">
        <v>0.2019</v>
      </c>
      <c r="R11" s="0">
        <f>6780000*2*3.1415926*P11*0.000001/Q11</f>
        <v/>
      </c>
      <c r="T11" s="3">
        <f>ABS(L11-P11)/P11*100</f>
        <v/>
      </c>
      <c r="U11" s="3">
        <f>ABS(M11-Q11)/Q11*100</f>
        <v/>
      </c>
      <c r="W11" s="0" t="n">
        <v>0.3771849274635315</v>
      </c>
      <c r="X11" s="0" t="n">
        <v>0.1903194934129715</v>
      </c>
      <c r="Y11" s="0">
        <f>6780000*2*3.1415926*W11*0.000001/X11</f>
        <v/>
      </c>
      <c r="AA11" s="3">
        <f>ABS(W11-P11)/P11*100</f>
        <v/>
      </c>
      <c r="AB11" s="3">
        <f>ABS(X11-Q11)/Q11*100</f>
        <v/>
      </c>
    </row>
    <row r="12">
      <c r="A12" s="0" t="n">
        <v>3</v>
      </c>
      <c r="B12" s="0" t="n">
        <v>40</v>
      </c>
      <c r="C12" s="0" t="n">
        <v>1.2</v>
      </c>
      <c r="D12" s="0" t="n">
        <v>9.9</v>
      </c>
      <c r="E12" s="0" t="n">
        <v>1.2</v>
      </c>
      <c r="F12" s="0">
        <f>B12</f>
        <v/>
      </c>
      <c r="G12" s="0">
        <f>F12-(A12-1)*2*(C12+E12)-2*C12</f>
        <v/>
      </c>
      <c r="H12" s="0">
        <f>2.34*0.000001257*(0.5*A12^2*(F12+G12))/(1+2.73*(F12-G12)/(F12+G12))*1000</f>
        <v/>
      </c>
      <c r="I12" s="0">
        <f>0.0000000168*4*0.5*(F12+G12)/(0.00007*C12)</f>
        <v/>
      </c>
      <c r="J12" s="0" t="n">
        <v>6.78</v>
      </c>
      <c r="L12" s="0" t="n">
        <v>0.498550307</v>
      </c>
      <c r="M12" s="0" t="n">
        <v>0.208711948</v>
      </c>
      <c r="N12" s="0" t="n">
        <v>101.7586268</v>
      </c>
      <c r="P12" s="0" t="n">
        <v>0.5432</v>
      </c>
      <c r="Q12" s="0" t="n">
        <v>0.21759</v>
      </c>
      <c r="R12" s="0">
        <f>6780000*2*3.1415926*P12*0.000001/Q12</f>
        <v/>
      </c>
      <c r="T12" s="3">
        <f>ABS(L12-P12)/P12*100</f>
        <v/>
      </c>
      <c r="U12" s="3">
        <f>ABS(M12-Q12)/Q12*100</f>
        <v/>
      </c>
      <c r="W12" s="0" t="n">
        <v>0.4995250105857849</v>
      </c>
      <c r="X12" s="0" t="n">
        <v>0.1982750445604324</v>
      </c>
      <c r="Y12" s="0">
        <f>6780000*2*3.1415926*W12*0.000001/X12</f>
        <v/>
      </c>
      <c r="AA12" s="3">
        <f>ABS(W12-P12)/P12*100</f>
        <v/>
      </c>
      <c r="AB12" s="3">
        <f>ABS(X12-Q12)/Q12*100</f>
        <v/>
      </c>
    </row>
    <row r="13">
      <c r="A13" s="0" t="n">
        <v>3</v>
      </c>
      <c r="B13" s="0" t="n">
        <v>40</v>
      </c>
      <c r="C13" s="0" t="n">
        <v>1.4</v>
      </c>
      <c r="D13" s="0" t="n">
        <v>29.9</v>
      </c>
      <c r="E13" s="0" t="n">
        <v>0.8</v>
      </c>
      <c r="F13" s="0">
        <f>B13</f>
        <v/>
      </c>
      <c r="G13" s="0">
        <f>F13-(A13-1)*2*(C13+E13)-2*C13</f>
        <v/>
      </c>
      <c r="H13" s="0">
        <f>2.34*0.000001257*(0.5*A13^2*(F13+G13))/(1+2.73*(F13-G13)/(F13+G13))*1000</f>
        <v/>
      </c>
      <c r="I13" s="0">
        <f>0.0000000168*4*0.5*(F13+G13)/(0.00007*C13)</f>
        <v/>
      </c>
      <c r="J13" s="0" t="n">
        <v>6.78</v>
      </c>
      <c r="L13" s="0" t="n">
        <v>0.398311211</v>
      </c>
      <c r="M13" s="0" t="n">
        <v>0.373150623</v>
      </c>
      <c r="N13" s="0" t="n">
        <v>45.47240471</v>
      </c>
      <c r="P13" s="0" t="n">
        <v>0.52894</v>
      </c>
      <c r="Q13" s="0" t="n">
        <v>0.20279</v>
      </c>
      <c r="R13" s="0">
        <f>6780000*2*3.1415926*P13*0.000001/Q13</f>
        <v/>
      </c>
      <c r="T13" s="3">
        <f>ABS(L13-P13)/P13*100</f>
        <v/>
      </c>
      <c r="U13" s="3">
        <f>ABS(M13-Q13)/Q13*100</f>
        <v/>
      </c>
      <c r="W13" s="0" t="n">
        <v>0.4842765927314758</v>
      </c>
      <c r="X13" s="0" t="n">
        <v>0.1854658275842667</v>
      </c>
      <c r="Y13" s="0">
        <f>6780000*2*3.1415926*W13*0.000001/X13</f>
        <v/>
      </c>
      <c r="AA13" s="3">
        <f>ABS(W13-P13)/P13*100</f>
        <v/>
      </c>
      <c r="AB13" s="3">
        <f>ABS(X13-Q13)/Q13*100</f>
        <v/>
      </c>
    </row>
    <row r="14">
      <c r="A14" s="0" t="n">
        <v>3</v>
      </c>
      <c r="B14" s="0" t="n">
        <v>45</v>
      </c>
      <c r="C14" s="0" t="n">
        <v>1.8</v>
      </c>
      <c r="D14" s="0" t="n">
        <v>9.9</v>
      </c>
      <c r="E14" s="0" t="n">
        <v>1.2</v>
      </c>
      <c r="F14" s="0">
        <f>B14</f>
        <v/>
      </c>
      <c r="G14" s="0">
        <f>F14-(A14-1)*2*(C14+E14)-2*C14</f>
        <v/>
      </c>
      <c r="H14" s="0">
        <f>2.34*0.000001257*(0.5*A14^2*(F14+G14))/(1+2.73*(F14-G14)/(F14+G14))*1000</f>
        <v/>
      </c>
      <c r="I14" s="0">
        <f>0.0000000168*4*0.5*(F14+G14)/(0.00007*C14)</f>
        <v/>
      </c>
      <c r="J14" s="0" t="n">
        <v>6.78</v>
      </c>
      <c r="L14" s="0" t="n">
        <v>0.522146849</v>
      </c>
      <c r="M14" s="0" t="n">
        <v>0.168075232</v>
      </c>
      <c r="N14" s="0" t="n">
        <v>132.342247</v>
      </c>
      <c r="P14" s="0" t="n">
        <v>0.5555</v>
      </c>
      <c r="Q14" s="0" t="n">
        <v>0.18973</v>
      </c>
      <c r="R14" s="0">
        <f>6780000*2*3.1415926*P14*0.000001/Q14</f>
        <v/>
      </c>
      <c r="T14" s="3">
        <f>ABS(L14-P14)/P14*100</f>
        <v/>
      </c>
      <c r="U14" s="3">
        <f>ABS(M14-Q14)/Q14*100</f>
        <v/>
      </c>
      <c r="W14" s="0" t="n">
        <v>0.5208194255828857</v>
      </c>
      <c r="X14" s="0" t="n">
        <v>0.1702264398336411</v>
      </c>
      <c r="Y14" s="0">
        <f>6780000*2*3.1415926*W14*0.000001/X14</f>
        <v/>
      </c>
      <c r="AA14" s="3">
        <f>ABS(W14-P14)/P14*100</f>
        <v/>
      </c>
      <c r="AB14" s="3">
        <f>ABS(X14-Q14)/Q14*100</f>
        <v/>
      </c>
    </row>
    <row r="15">
      <c r="A15" s="0" t="n">
        <v>3</v>
      </c>
      <c r="B15" s="0" t="n">
        <v>50</v>
      </c>
      <c r="C15" s="0" t="n">
        <v>1.8</v>
      </c>
      <c r="D15" s="0" t="n">
        <v>29.9</v>
      </c>
      <c r="E15" s="0" t="n">
        <v>1.2</v>
      </c>
      <c r="F15" s="0">
        <f>B15</f>
        <v/>
      </c>
      <c r="G15" s="0">
        <f>F15-(A15-1)*2*(C15+E15)-2*C15</f>
        <v/>
      </c>
      <c r="H15" s="0">
        <f>2.34*0.000001257*(0.5*A15^2*(F15+G15))/(1+2.73*(F15-G15)/(F15+G15))*1000</f>
        <v/>
      </c>
      <c r="I15" s="0">
        <f>0.0000000168*4*0.5*(F15+G15)/(0.00007*C15)</f>
        <v/>
      </c>
      <c r="J15" s="0" t="n">
        <v>6.78</v>
      </c>
      <c r="L15" s="0" t="n">
        <v>0.603862757</v>
      </c>
      <c r="M15" s="0" t="n">
        <v>0.181093175</v>
      </c>
      <c r="N15" s="0" t="n">
        <v>142.0514671</v>
      </c>
      <c r="P15" s="0" t="n">
        <v>0.64193</v>
      </c>
      <c r="Q15" s="0" t="n">
        <v>0.20407</v>
      </c>
      <c r="R15" s="0">
        <f>6780000*2*3.1415926*P15*0.000001/Q15</f>
        <v/>
      </c>
      <c r="T15" s="3">
        <f>ABS(L15-P15)/P15*100</f>
        <v/>
      </c>
      <c r="U15" s="3">
        <f>ABS(M15-Q15)/Q15*100</f>
        <v/>
      </c>
      <c r="W15" s="0" t="n">
        <v>0.5992611050605774</v>
      </c>
      <c r="X15" s="0" t="n">
        <v>0.1831464767456055</v>
      </c>
      <c r="Y15" s="0">
        <f>6780000*2*3.1415926*W15*0.000001/X15</f>
        <v/>
      </c>
      <c r="AA15" s="3">
        <f>ABS(W15-P15)/P15*100</f>
        <v/>
      </c>
      <c r="AB15" s="3">
        <f>ABS(X15-Q15)/Q15*100</f>
        <v/>
      </c>
    </row>
    <row r="16">
      <c r="A16" s="0" t="n">
        <v>3</v>
      </c>
      <c r="B16" s="0" t="n">
        <v>55</v>
      </c>
      <c r="C16" s="0" t="n">
        <v>1.6</v>
      </c>
      <c r="D16" s="0" t="n">
        <v>49.9</v>
      </c>
      <c r="E16" s="0" t="n">
        <v>1</v>
      </c>
      <c r="F16" s="0">
        <f>B16</f>
        <v/>
      </c>
      <c r="G16" s="0">
        <f>F16-(A16-1)*2*(C16+E16)-2*C16</f>
        <v/>
      </c>
      <c r="H16" s="0">
        <f>2.34*0.000001257*(0.5*A16^2*(F16+G16))/(1+2.73*(F16-G16)/(F16+G16))*1000</f>
        <v/>
      </c>
      <c r="I16" s="0">
        <f>0.0000000168*4*0.5*(F16+G16)/(0.00007*C16)</f>
        <v/>
      </c>
      <c r="J16" s="0" t="n">
        <v>6.78</v>
      </c>
      <c r="L16" s="0" t="n">
        <v>0.735330362</v>
      </c>
      <c r="M16" s="0" t="n">
        <v>0.208757344</v>
      </c>
      <c r="N16" s="0" t="n">
        <v>150.0549399</v>
      </c>
      <c r="P16" s="0" t="n">
        <v>0.77482</v>
      </c>
      <c r="Q16" s="0" t="n">
        <v>0.2261</v>
      </c>
      <c r="R16" s="0">
        <f>6780000*2*3.1415926*P16*0.000001/Q16</f>
        <v/>
      </c>
      <c r="T16" s="3">
        <f>ABS(L16-P16)/P16*100</f>
        <v/>
      </c>
      <c r="U16" s="3">
        <f>ABS(M16-Q16)/Q16*100</f>
        <v/>
      </c>
      <c r="W16" s="0" t="n">
        <v>0.7420182228088379</v>
      </c>
      <c r="X16" s="0" t="n">
        <v>0.2256967425346375</v>
      </c>
      <c r="Y16" s="0">
        <f>6780000*2*3.1415926*W16*0.000001/X16</f>
        <v/>
      </c>
      <c r="AA16" s="3">
        <f>ABS(W16-P16)/P16*100</f>
        <v/>
      </c>
      <c r="AB16" s="3">
        <f>ABS(X16-Q16)/Q16*100</f>
        <v/>
      </c>
    </row>
    <row r="17">
      <c r="A17" s="0" t="n">
        <v>3</v>
      </c>
      <c r="B17" s="0" t="n">
        <v>60</v>
      </c>
      <c r="C17" s="0" t="n">
        <v>1.4</v>
      </c>
      <c r="D17" s="0" t="n">
        <v>9.9</v>
      </c>
      <c r="E17" s="0" t="n">
        <v>1.2</v>
      </c>
      <c r="F17" s="0">
        <f>B17</f>
        <v/>
      </c>
      <c r="G17" s="0">
        <f>F17-(A17-1)*2*(C17+E17)-2*C17</f>
        <v/>
      </c>
      <c r="H17" s="0">
        <f>2.34*0.000001257*(0.5*A17^2*(F17+G17))/(1+2.73*(F17-G17)/(F17+G17))*1000</f>
        <v/>
      </c>
      <c r="I17" s="0">
        <f>0.0000000168*4*0.5*(F17+G17)/(0.00007*C17)</f>
        <v/>
      </c>
      <c r="J17" s="0" t="n">
        <v>6.78</v>
      </c>
      <c r="L17" s="0" t="n">
        <v>0.931856043</v>
      </c>
      <c r="M17" s="0" t="n">
        <v>0.293702951</v>
      </c>
      <c r="N17" s="0" t="n">
        <v>135.1605896</v>
      </c>
      <c r="P17" s="0" t="n">
        <v>0.98089</v>
      </c>
      <c r="Q17" s="0" t="n">
        <v>0.27775</v>
      </c>
      <c r="R17" s="0">
        <f>6780000*2*3.1415926*P17*0.000001/Q17</f>
        <v/>
      </c>
      <c r="T17" s="3">
        <f>ABS(L17-P17)/P17*100</f>
        <v/>
      </c>
      <c r="U17" s="3">
        <f>ABS(M17-Q17)/Q17*100</f>
        <v/>
      </c>
      <c r="W17" s="0" t="n">
        <v>0.9295641183853149</v>
      </c>
      <c r="X17" s="0" t="n">
        <v>0.2755949795246124</v>
      </c>
      <c r="Y17" s="0">
        <f>6780000*2*3.1415926*W17*0.000001/X17</f>
        <v/>
      </c>
      <c r="AA17" s="3">
        <f>ABS(W17-P17)/P17*100</f>
        <v/>
      </c>
      <c r="AB17" s="3">
        <f>ABS(X17-Q17)/Q17*100</f>
        <v/>
      </c>
    </row>
    <row r="18">
      <c r="A18" s="0" t="n">
        <v>3</v>
      </c>
      <c r="B18" s="0" t="n">
        <v>70</v>
      </c>
      <c r="C18" s="0" t="n">
        <v>1.8</v>
      </c>
      <c r="D18" s="0" t="n">
        <v>49.9</v>
      </c>
      <c r="E18" s="0" t="n">
        <v>0.8</v>
      </c>
      <c r="F18" s="0">
        <f>B18</f>
        <v/>
      </c>
      <c r="G18" s="0">
        <f>F18-(A18-1)*2*(C18+E18)-2*C18</f>
        <v/>
      </c>
      <c r="H18" s="0">
        <f>2.34*0.000001257*(0.5*A18^2*(F18+G18))/(1+2.73*(F18-G18)/(F18+G18))*1000</f>
        <v/>
      </c>
      <c r="I18" s="0">
        <f>0.0000000168*4*0.5*(F18+G18)/(0.00007*C18)</f>
        <v/>
      </c>
      <c r="J18" s="0" t="n">
        <v>6.78</v>
      </c>
      <c r="L18" s="0" t="n">
        <v>1.063174154</v>
      </c>
      <c r="M18" s="0" t="n">
        <v>0.262538357</v>
      </c>
      <c r="N18" s="0" t="n">
        <v>172.5127542</v>
      </c>
      <c r="P18" s="0" t="n">
        <v>1.1099</v>
      </c>
      <c r="Q18" s="0" t="n">
        <v>0.24301</v>
      </c>
      <c r="R18" s="0">
        <f>6780000*2*3.1415926*P18*0.000001/Q18</f>
        <v/>
      </c>
      <c r="T18" s="3">
        <f>ABS(L18-P18)/P18*100</f>
        <v/>
      </c>
      <c r="U18" s="3">
        <f>ABS(M18-Q18)/Q18*100</f>
        <v/>
      </c>
      <c r="W18" s="0" t="n">
        <v>1.06830894947052</v>
      </c>
      <c r="X18" s="0" t="n">
        <v>0.2733028531074524</v>
      </c>
      <c r="Y18" s="0">
        <f>6780000*2*3.1415926*W18*0.000001/X18</f>
        <v/>
      </c>
      <c r="AA18" s="3">
        <f>ABS(W18-P18)/P18*100</f>
        <v/>
      </c>
      <c r="AB18" s="3">
        <f>ABS(X18-Q18)/Q18*100</f>
        <v/>
      </c>
    </row>
    <row r="19">
      <c r="A19" s="0" t="n">
        <v>4</v>
      </c>
      <c r="B19" s="0" t="n">
        <v>30</v>
      </c>
      <c r="C19" s="0" t="n">
        <v>0.8</v>
      </c>
      <c r="D19" s="0" t="n">
        <v>30</v>
      </c>
      <c r="E19" s="0" t="n">
        <v>0.5</v>
      </c>
      <c r="F19" s="0">
        <f>B19</f>
        <v/>
      </c>
      <c r="G19" s="0">
        <f>F19-(A19-1)*2*(C19+E19)-2*C19</f>
        <v/>
      </c>
      <c r="H19" s="0">
        <f>2.34*0.000001257*(0.5*A19^2*(F19+G19))/(1+2.73*(F19-G19)/(F19+G19))*1000</f>
        <v/>
      </c>
      <c r="I19" s="0">
        <f>0.0000000168*4*0.5*(F19+G19)/(0.00007*C19)</f>
        <v/>
      </c>
      <c r="J19" s="0" t="n">
        <v>6.78</v>
      </c>
      <c r="L19" s="0" t="n">
        <v>0.616134175</v>
      </c>
      <c r="M19" s="0" t="n">
        <v>0.304904203</v>
      </c>
      <c r="N19" s="0" t="n">
        <v>86.08380398</v>
      </c>
      <c r="P19" s="0" t="n">
        <v>0.64696</v>
      </c>
      <c r="Q19" s="0" t="n">
        <v>0.26498</v>
      </c>
      <c r="R19" s="0">
        <f>6780000*2*3.1415926*P19*0.000001/Q19</f>
        <v/>
      </c>
      <c r="T19" s="3">
        <f>ABS(L19-P19)/P19*100</f>
        <v/>
      </c>
      <c r="U19" s="3">
        <f>ABS(M19-Q19)/Q19*100</f>
        <v/>
      </c>
      <c r="W19" s="0" t="n">
        <v>0.8216316699981689</v>
      </c>
      <c r="X19" s="0" t="n">
        <v>0.534984290599823</v>
      </c>
      <c r="Y19" s="0">
        <f>6780000*2*3.1415926*W19*0.000001/X19</f>
        <v/>
      </c>
      <c r="AA19" s="3">
        <f>ABS(W19-P19)/P19*100</f>
        <v/>
      </c>
      <c r="AB19" s="3">
        <f>ABS(X19-Q19)/Q19*100</f>
        <v/>
      </c>
    </row>
    <row r="20">
      <c r="A20" s="0" t="n">
        <v>4</v>
      </c>
      <c r="B20" s="0" t="n">
        <v>30</v>
      </c>
      <c r="C20" s="0" t="n">
        <v>1</v>
      </c>
      <c r="D20" s="0" t="n">
        <v>40</v>
      </c>
      <c r="E20" s="0" t="n">
        <v>0.7</v>
      </c>
      <c r="F20" s="0">
        <f>B20</f>
        <v/>
      </c>
      <c r="G20" s="0">
        <f>F20-(A20-1)*2*(C20+E20)-2*C20</f>
        <v/>
      </c>
      <c r="H20" s="0">
        <f>2.34*0.000001257*(0.5*A20^2*(F20+G20))/(1+2.73*(F20-G20)/(F20+G20))*1000</f>
        <v/>
      </c>
      <c r="I20" s="0">
        <f>0.0000000168*4*0.5*(F20+G20)/(0.00007*C20)</f>
        <v/>
      </c>
      <c r="J20" s="0" t="n">
        <v>6.78</v>
      </c>
      <c r="L20" s="0" t="n">
        <v>0.502169506</v>
      </c>
      <c r="M20" s="0" t="n">
        <v>0.243135428</v>
      </c>
      <c r="N20" s="0" t="n">
        <v>87.98561078</v>
      </c>
      <c r="P20" s="0" t="n">
        <v>0.52949</v>
      </c>
      <c r="Q20" s="0" t="n">
        <v>0.20625</v>
      </c>
      <c r="R20" s="0">
        <f>6780000*2*3.1415926*P20*0.000001/Q20</f>
        <v/>
      </c>
      <c r="T20" s="3">
        <f>ABS(L20-P20)/P20*100</f>
        <v/>
      </c>
      <c r="U20" s="3">
        <f>ABS(M20-Q20)/Q20*100</f>
        <v/>
      </c>
      <c r="W20" s="0" t="n">
        <v>0.6578255891799927</v>
      </c>
      <c r="X20" s="0" t="n">
        <v>0.4513950347900391</v>
      </c>
      <c r="Y20" s="0">
        <f>6780000*2*3.1415926*W20*0.000001/X20</f>
        <v/>
      </c>
      <c r="AA20" s="3">
        <f>ABS(W20-P20)/P20*100</f>
        <v/>
      </c>
      <c r="AB20" s="3">
        <f>ABS(X20-Q20)/Q20*100</f>
        <v/>
      </c>
    </row>
    <row r="21">
      <c r="A21" s="0" t="n">
        <v>4</v>
      </c>
      <c r="B21" s="0" t="n">
        <v>35</v>
      </c>
      <c r="C21" s="0" t="n">
        <v>0.8</v>
      </c>
      <c r="D21" s="0" t="n">
        <v>50</v>
      </c>
      <c r="E21" s="0" t="n">
        <v>0.5</v>
      </c>
      <c r="F21" s="0">
        <f>B21</f>
        <v/>
      </c>
      <c r="G21" s="0">
        <f>F21-(A21-1)*2*(C21+E21)-2*C21</f>
        <v/>
      </c>
      <c r="H21" s="0">
        <f>2.34*0.000001257*(0.5*A21^2*(F21+G21))/(1+2.73*(F21-G21)/(F21+G21))*1000</f>
        <v/>
      </c>
      <c r="I21" s="0">
        <f>0.0000000168*4*0.5*(F21+G21)/(0.00007*C21)</f>
        <v/>
      </c>
      <c r="J21" s="0" t="n">
        <v>6.78</v>
      </c>
      <c r="L21" s="0" t="n">
        <v>0.767966782</v>
      </c>
      <c r="M21" s="0" t="n">
        <v>0.347383043</v>
      </c>
      <c r="N21" s="0" t="n">
        <v>94.17668141999999</v>
      </c>
      <c r="P21" s="0" t="n">
        <v>0.80198</v>
      </c>
      <c r="Q21" s="0" t="n">
        <v>0.32781</v>
      </c>
      <c r="R21" s="0">
        <f>6780000*2*3.1415926*P21*0.000001/Q21</f>
        <v/>
      </c>
      <c r="T21" s="3">
        <f>ABS(L21-P21)/P21*100</f>
        <v/>
      </c>
      <c r="U21" s="3">
        <f>ABS(M21-Q21)/Q21*100</f>
        <v/>
      </c>
      <c r="W21" s="0" t="n">
        <v>0.8608903884887695</v>
      </c>
      <c r="X21" s="0" t="n">
        <v>0.4733086228370667</v>
      </c>
      <c r="Y21" s="0">
        <f>6780000*2*3.1415926*W21*0.000001/X21</f>
        <v/>
      </c>
      <c r="AA21" s="3">
        <f>ABS(W21-P21)/P21*100</f>
        <v/>
      </c>
      <c r="AB21" s="3">
        <f>ABS(X21-Q21)/Q21*100</f>
        <v/>
      </c>
    </row>
    <row r="22">
      <c r="A22" s="0" t="n">
        <v>4</v>
      </c>
      <c r="B22" s="0" t="n">
        <v>40</v>
      </c>
      <c r="C22" s="0" t="n">
        <v>0.8</v>
      </c>
      <c r="D22" s="0" t="n">
        <v>85</v>
      </c>
      <c r="E22" s="0" t="n">
        <v>0.5</v>
      </c>
      <c r="F22" s="0">
        <f>B22</f>
        <v/>
      </c>
      <c r="G22" s="0">
        <f>F22-(A22-1)*2*(C22+E22)-2*C22</f>
        <v/>
      </c>
      <c r="H22" s="0">
        <f>2.34*0.000001257*(0.5*A22^2*(F22+G22))/(1+2.73*(F22-G22)/(F22+G22))*1000</f>
        <v/>
      </c>
      <c r="I22" s="0">
        <f>0.0000000168*4*0.5*(F22+G22)/(0.00007*C22)</f>
        <v/>
      </c>
      <c r="J22" s="0" t="n">
        <v>6.78</v>
      </c>
      <c r="L22" s="0" t="n">
        <v>0.881670091</v>
      </c>
      <c r="M22" s="0" t="n">
        <v>0.3802139</v>
      </c>
      <c r="N22" s="0" t="n">
        <v>98.78424409</v>
      </c>
      <c r="P22" s="0" t="n">
        <v>0.91508</v>
      </c>
      <c r="Q22" s="0" t="n">
        <v>0.29765</v>
      </c>
      <c r="R22" s="0">
        <f>6780000*2*3.1415926*P22*0.000001/Q22</f>
        <v/>
      </c>
      <c r="T22" s="3">
        <f>ABS(L22-P22)/P22*100</f>
        <v/>
      </c>
      <c r="U22" s="3">
        <f>ABS(M22-Q22)/Q22*100</f>
        <v/>
      </c>
      <c r="W22" s="0" t="n">
        <v>0.8703080415725708</v>
      </c>
      <c r="X22" s="0" t="n">
        <v>0.3937997221946716</v>
      </c>
      <c r="Y22" s="0">
        <f>6780000*2*3.1415926*W22*0.000001/X22</f>
        <v/>
      </c>
      <c r="AA22" s="3">
        <f>ABS(W22-P22)/P22*100</f>
        <v/>
      </c>
      <c r="AB22" s="3">
        <f>ABS(X22-Q22)/Q22*100</f>
        <v/>
      </c>
    </row>
    <row r="23">
      <c r="A23" s="0" t="n">
        <v>4</v>
      </c>
      <c r="B23" s="0" t="n">
        <v>40</v>
      </c>
      <c r="C23" s="0" t="n">
        <v>0.8</v>
      </c>
      <c r="D23" s="0" t="n">
        <v>20</v>
      </c>
      <c r="E23" s="0" t="n">
        <v>0.7</v>
      </c>
      <c r="F23" s="0">
        <f>B23</f>
        <v/>
      </c>
      <c r="G23" s="0">
        <f>F23-(A23-1)*2*(C23+E23)-2*C23</f>
        <v/>
      </c>
      <c r="H23" s="0">
        <f>2.34*0.000001257*(0.5*A23^2*(F23+G23))/(1+2.73*(F23-G23)/(F23+G23))*1000</f>
        <v/>
      </c>
      <c r="I23" s="0">
        <f>0.0000000168*4*0.5*(F23+G23)/(0.00007*C23)</f>
        <v/>
      </c>
      <c r="J23" s="0" t="n">
        <v>6.78</v>
      </c>
      <c r="L23" s="0" t="n">
        <v>0.962433756</v>
      </c>
      <c r="M23" s="0" t="n">
        <v>0.400986295</v>
      </c>
      <c r="N23" s="0" t="n">
        <v>102.2470718</v>
      </c>
      <c r="P23" s="0" t="n">
        <v>1.0001</v>
      </c>
      <c r="Q23" s="0" t="n">
        <v>0.33732</v>
      </c>
      <c r="R23" s="0">
        <f>6780000*2*3.1415926*P23*0.000001/Q23</f>
        <v/>
      </c>
      <c r="T23" s="3">
        <f>ABS(L23-P23)/P23*100</f>
        <v/>
      </c>
      <c r="U23" s="3">
        <f>ABS(M23-Q23)/Q23*100</f>
        <v/>
      </c>
      <c r="W23" s="0" t="n">
        <v>0.9359887838363647</v>
      </c>
      <c r="X23" s="0" t="n">
        <v>0.4283766746520996</v>
      </c>
      <c r="Y23" s="0">
        <f>6780000*2*3.1415926*W23*0.000001/X23</f>
        <v/>
      </c>
      <c r="AA23" s="3">
        <f>ABS(W23-P23)/P23*100</f>
        <v/>
      </c>
      <c r="AB23" s="3">
        <f>ABS(X23-Q23)/Q23*100</f>
        <v/>
      </c>
    </row>
    <row r="24">
      <c r="A24" s="0" t="n">
        <v>4</v>
      </c>
      <c r="B24" s="0" t="n">
        <v>40</v>
      </c>
      <c r="C24" s="0" t="n">
        <v>1</v>
      </c>
      <c r="D24" s="0" t="n">
        <v>20</v>
      </c>
      <c r="E24" s="0" t="n">
        <v>0.5</v>
      </c>
      <c r="F24" s="0">
        <f>B24</f>
        <v/>
      </c>
      <c r="G24" s="0">
        <f>F24-(A24-1)*2*(C24+E24)-2*C24</f>
        <v/>
      </c>
      <c r="H24" s="0">
        <f>2.34*0.000001257*(0.5*A24^2*(F24+G24))/(1+2.73*(F24-G24)/(F24+G24))*1000</f>
        <v/>
      </c>
      <c r="I24" s="0">
        <f>0.0000000168*4*0.5*(F24+G24)/(0.00007*C24)</f>
        <v/>
      </c>
      <c r="J24" s="0" t="n">
        <v>6.78</v>
      </c>
      <c r="L24" s="0" t="n">
        <v>0.93857469</v>
      </c>
      <c r="M24" s="0" t="n">
        <v>0.286905309</v>
      </c>
      <c r="N24" s="0" t="n">
        <v>139.3605387</v>
      </c>
      <c r="P24" s="0" t="n">
        <v>0.97636</v>
      </c>
      <c r="Q24" s="0" t="n">
        <v>0.35256</v>
      </c>
      <c r="R24" s="0">
        <f>6780000*2*3.1415926*P24*0.000001/Q24</f>
        <v/>
      </c>
      <c r="T24" s="3">
        <f>ABS(L24-P24)/P24*100</f>
        <v/>
      </c>
      <c r="U24" s="3">
        <f>ABS(M24-Q24)/Q24*100</f>
        <v/>
      </c>
      <c r="W24" s="0" t="n">
        <v>0.9324771165847778</v>
      </c>
      <c r="X24" s="0" t="n">
        <v>0.434345543384552</v>
      </c>
      <c r="Y24" s="0">
        <f>6780000*2*3.1415926*W24*0.000001/X24</f>
        <v/>
      </c>
      <c r="AA24" s="3">
        <f>ABS(W24-P24)/P24*100</f>
        <v/>
      </c>
      <c r="AB24" s="3">
        <f>ABS(X24-Q24)/Q24*100</f>
        <v/>
      </c>
    </row>
    <row r="25">
      <c r="A25" s="0" t="n">
        <v>4</v>
      </c>
      <c r="B25" s="0" t="n">
        <v>50</v>
      </c>
      <c r="C25" s="0" t="n">
        <v>1</v>
      </c>
      <c r="D25" s="0" t="n">
        <v>60</v>
      </c>
      <c r="E25" s="0" t="n">
        <v>0.5</v>
      </c>
      <c r="F25" s="0">
        <f>B25</f>
        <v/>
      </c>
      <c r="G25" s="0">
        <f>F25-(A25-1)*2*(C25+E25)-2*C25</f>
        <v/>
      </c>
      <c r="H25" s="0">
        <f>2.34*0.000001257*(0.5*A25^2*(F25+G25))/(1+2.73*(F25-G25)/(F25+G25))*1000</f>
        <v/>
      </c>
      <c r="I25" s="0">
        <f>0.0000000168*4*0.5*(F25+G25)/(0.00007*C25)</f>
        <v/>
      </c>
      <c r="J25" s="0" t="n">
        <v>6.78</v>
      </c>
      <c r="L25" s="0" t="n">
        <v>1.246126929</v>
      </c>
      <c r="M25" s="0" t="n">
        <v>0.43579581</v>
      </c>
      <c r="N25" s="0" t="n">
        <v>121.8116409</v>
      </c>
      <c r="P25" s="0" t="n">
        <v>1.2891</v>
      </c>
      <c r="Q25" s="0" t="n">
        <v>0.41973</v>
      </c>
      <c r="R25" s="0">
        <f>6780000*2*3.1415926*P25*0.000001/Q25</f>
        <v/>
      </c>
      <c r="T25" s="3">
        <f>ABS(L25-P25)/P25*100</f>
        <v/>
      </c>
      <c r="U25" s="3">
        <f>ABS(M25-Q25)/Q25*100</f>
        <v/>
      </c>
      <c r="W25" s="0" t="n">
        <v>1.233023285865784</v>
      </c>
      <c r="X25" s="0" t="n">
        <v>0.4232726693153381</v>
      </c>
      <c r="Y25" s="0">
        <f>6780000*2*3.1415926*W25*0.000001/X25</f>
        <v/>
      </c>
      <c r="AA25" s="3">
        <f>ABS(W25-P25)/P25*100</f>
        <v/>
      </c>
      <c r="AB25" s="3">
        <f>ABS(X25-Q25)/Q25*100</f>
        <v/>
      </c>
    </row>
    <row r="26">
      <c r="A26" s="0" t="n">
        <v>5</v>
      </c>
      <c r="B26" s="0" t="n">
        <v>40</v>
      </c>
      <c r="C26" s="0" t="n">
        <v>0.8</v>
      </c>
      <c r="D26" s="0" t="n">
        <v>9.9</v>
      </c>
      <c r="E26" s="0" t="n">
        <v>0.4</v>
      </c>
      <c r="F26" s="0">
        <f>B26</f>
        <v/>
      </c>
      <c r="G26" s="0">
        <f>F26-(A26-1)*2*(C26+E26)-2*C26</f>
        <v/>
      </c>
      <c r="H26" s="0">
        <f>2.34*0.000001257*(0.5*A26^2*(F26+G26))/(1+2.73*(F26-G26)/(F26+G26))*1000</f>
        <v/>
      </c>
      <c r="I26" s="0">
        <f>0.0000000168*4*0.5*(F26+G26)/(0.00007*C26)</f>
        <v/>
      </c>
      <c r="J26" s="0" t="n">
        <v>6.78</v>
      </c>
      <c r="L26" s="0" t="n">
        <v>1.505167513</v>
      </c>
      <c r="M26" s="0" t="n">
        <v>0.960399898</v>
      </c>
      <c r="N26" s="0" t="n">
        <v>66.76399143</v>
      </c>
      <c r="P26" s="0" t="n">
        <v>1.5939</v>
      </c>
      <c r="Q26" s="0" t="n">
        <v>0.63248</v>
      </c>
      <c r="R26" s="0">
        <f>6780000*2*3.1415926*P26*0.000001/Q26</f>
        <v/>
      </c>
      <c r="T26" s="3">
        <f>ABS(L26-P26)/P26*100</f>
        <v/>
      </c>
      <c r="U26" s="3">
        <f>ABS(M26-Q26)/Q26*100</f>
        <v/>
      </c>
      <c r="W26" s="0" t="n">
        <v>1.503465414047241</v>
      </c>
      <c r="X26" s="0" t="n">
        <v>0.893433690071106</v>
      </c>
      <c r="Y26" s="0">
        <f>6780000*2*3.1415926*W26*0.000001/X26</f>
        <v/>
      </c>
      <c r="AA26" s="3">
        <f>ABS(W26-P26)/P26*100</f>
        <v/>
      </c>
      <c r="AB26" s="3">
        <f>ABS(X26-Q26)/Q26*100</f>
        <v/>
      </c>
    </row>
    <row r="27">
      <c r="A27" s="0" t="n">
        <v>5</v>
      </c>
      <c r="B27" s="0" t="n">
        <v>40</v>
      </c>
      <c r="C27" s="0" t="n">
        <v>0.8</v>
      </c>
      <c r="D27" s="0" t="n">
        <v>9.9</v>
      </c>
      <c r="E27" s="0" t="n">
        <v>0.6</v>
      </c>
      <c r="F27" s="0">
        <f>B27</f>
        <v/>
      </c>
      <c r="G27" s="0">
        <f>F27-(A27-1)*2*(C27+E27)-2*C27</f>
        <v/>
      </c>
      <c r="H27" s="0">
        <f>2.34*0.000001257*(0.5*A27^2*(F27+G27))/(1+2.73*(F27-G27)/(F27+G27))*1000</f>
        <v/>
      </c>
      <c r="I27" s="0">
        <f>0.0000000168*4*0.5*(F27+G27)/(0.00007*C27)</f>
        <v/>
      </c>
      <c r="J27" s="0" t="n">
        <v>6.78</v>
      </c>
      <c r="L27" s="0" t="n">
        <v>1.395230799</v>
      </c>
      <c r="M27" s="0" t="n">
        <v>0.572882691</v>
      </c>
      <c r="N27" s="0" t="n">
        <v>103.7504326</v>
      </c>
      <c r="P27" s="0" t="n">
        <v>1.4652</v>
      </c>
      <c r="Q27" s="0" t="n">
        <v>0.64064</v>
      </c>
      <c r="R27" s="0">
        <f>6780000*2*3.1415926*P27*0.000001/Q27</f>
        <v/>
      </c>
      <c r="T27" s="3">
        <f>ABS(L27-P27)/P27*100</f>
        <v/>
      </c>
      <c r="U27" s="3">
        <f>ABS(M27-Q27)/Q27*100</f>
        <v/>
      </c>
      <c r="W27" s="0" t="n">
        <v>1.364702224731445</v>
      </c>
      <c r="X27" s="0" t="n">
        <v>0.7268085479736328</v>
      </c>
      <c r="Y27" s="0">
        <f>6780000*2*3.1415926*W27*0.000001/X27</f>
        <v/>
      </c>
      <c r="AA27" s="3">
        <f>ABS(W27-P27)/P27*100</f>
        <v/>
      </c>
      <c r="AB27" s="3">
        <f>ABS(X27-Q27)/Q27*100</f>
        <v/>
      </c>
    </row>
    <row r="28">
      <c r="A28" s="0" t="n">
        <v>5</v>
      </c>
      <c r="B28" s="0" t="n">
        <v>55</v>
      </c>
      <c r="C28" s="0" t="n">
        <v>1</v>
      </c>
      <c r="D28" s="0" t="n">
        <v>9.9</v>
      </c>
      <c r="E28" s="0" t="n">
        <v>0.6</v>
      </c>
      <c r="F28" s="0">
        <f>B28</f>
        <v/>
      </c>
      <c r="G28" s="0">
        <f>F28-(A28-1)*2*(C28+E28)-2*C28</f>
        <v/>
      </c>
      <c r="H28" s="0">
        <f>2.34*0.000001257*(0.5*A28^2*(F28+G28))/(1+2.73*(F28-G28)/(F28+G28))*1000</f>
        <v/>
      </c>
      <c r="I28" s="0">
        <f>0.0000000168*4*0.5*(F28+G28)/(0.00007*C28)</f>
        <v/>
      </c>
      <c r="J28" s="0" t="n">
        <v>6.78</v>
      </c>
      <c r="L28" s="0" t="n">
        <v>2.252865989</v>
      </c>
      <c r="M28" s="0" t="n">
        <v>0.878892718</v>
      </c>
      <c r="N28" s="0" t="n">
        <v>109.1965845</v>
      </c>
      <c r="P28" s="0" t="n">
        <v>2.3499</v>
      </c>
      <c r="Q28" s="0" t="n">
        <v>0.8036</v>
      </c>
      <c r="R28" s="0">
        <f>6780000*2*3.1415926*P28*0.000001/Q28</f>
        <v/>
      </c>
      <c r="T28" s="3">
        <f>ABS(L28-P28)/P28*100</f>
        <v/>
      </c>
      <c r="U28" s="3">
        <f>ABS(M28-Q28)/Q28*100</f>
        <v/>
      </c>
      <c r="W28" s="0" t="n">
        <v>2.271613359451294</v>
      </c>
      <c r="X28" s="0" t="n">
        <v>0.8557167053222656</v>
      </c>
      <c r="Y28" s="0">
        <f>6780000*2*3.1415926*W28*0.000001/X28</f>
        <v/>
      </c>
      <c r="AA28" s="3">
        <f>ABS(W28-P28)/P28*100</f>
        <v/>
      </c>
      <c r="AB28" s="3">
        <f>ABS(X28-Q28)/Q28*100</f>
        <v/>
      </c>
    </row>
    <row r="29">
      <c r="A29" s="0" t="n">
        <v>5</v>
      </c>
      <c r="B29" s="0" t="n">
        <v>60</v>
      </c>
      <c r="C29" s="0" t="n">
        <v>1.2</v>
      </c>
      <c r="D29" s="0" t="n">
        <v>69.90000000000001</v>
      </c>
      <c r="E29" s="0" t="n">
        <v>1</v>
      </c>
      <c r="F29" s="0">
        <f>B29</f>
        <v/>
      </c>
      <c r="G29" s="0">
        <f>F29-(A29-1)*2*(C29+E29)-2*C29</f>
        <v/>
      </c>
      <c r="H29" s="0">
        <f>2.34*0.000001257*(0.5*A29^2*(F29+G29))/(1+2.73*(F29-G29)/(F29+G29))*1000</f>
        <v/>
      </c>
      <c r="I29" s="0">
        <f>0.0000000168*4*0.5*(F29+G29)/(0.00007*C29)</f>
        <v/>
      </c>
      <c r="J29" s="0" t="n">
        <v>6.78</v>
      </c>
      <c r="L29" s="0" t="n">
        <v>1.879683529</v>
      </c>
      <c r="M29" s="0" t="n">
        <v>0.580285776</v>
      </c>
      <c r="N29" s="0" t="n">
        <v>137.9915118</v>
      </c>
      <c r="P29" s="0" t="n">
        <v>1.9615</v>
      </c>
      <c r="Q29" s="0" t="n">
        <v>0.5185999999999999</v>
      </c>
      <c r="R29" s="0">
        <f>6780000*2*3.1415926*P29*0.000001/Q29</f>
        <v/>
      </c>
      <c r="T29" s="3">
        <f>ABS(L29-P29)/P29*100</f>
        <v/>
      </c>
      <c r="U29" s="3">
        <f>ABS(M29-Q29)/Q29*100</f>
        <v/>
      </c>
      <c r="W29" s="0" t="n">
        <v>1.905919313430786</v>
      </c>
      <c r="X29" s="0" t="n">
        <v>0.5821958184242249</v>
      </c>
      <c r="Y29" s="0">
        <f>6780000*2*3.1415926*W29*0.000001/X29</f>
        <v/>
      </c>
      <c r="AA29" s="3">
        <f>ABS(W29-P29)/P29*100</f>
        <v/>
      </c>
      <c r="AB29" s="3">
        <f>ABS(X29-Q29)/Q29*100</f>
        <v/>
      </c>
    </row>
    <row r="30">
      <c r="A30" s="0" t="n">
        <v>5</v>
      </c>
      <c r="B30" s="0" t="n">
        <v>65</v>
      </c>
      <c r="C30" s="0" t="n">
        <v>1</v>
      </c>
      <c r="D30" s="0" t="n">
        <v>9.9</v>
      </c>
      <c r="E30" s="0" t="n">
        <v>1</v>
      </c>
      <c r="F30" s="0">
        <f>B30</f>
        <v/>
      </c>
      <c r="G30" s="0">
        <f>F30-(A30-1)*2*(C30+E30)-2*C30</f>
        <v/>
      </c>
      <c r="H30" s="0">
        <f>2.34*0.000001257*(0.5*A30^2*(F30+G30))/(1+2.73*(F30-G30)/(F30+G30))*1000</f>
        <v/>
      </c>
      <c r="I30" s="0">
        <f>0.0000000168*4*0.5*(F30+G30)/(0.00007*C30)</f>
        <v/>
      </c>
      <c r="J30" s="0" t="n">
        <v>6.78</v>
      </c>
      <c r="L30" s="0" t="n">
        <v>2.682374093</v>
      </c>
      <c r="M30" s="0" t="n">
        <v>0.921468932</v>
      </c>
      <c r="N30" s="0" t="n">
        <v>124.0075739</v>
      </c>
      <c r="P30" s="0" t="n">
        <v>2.7973</v>
      </c>
      <c r="Q30" s="0" t="n">
        <v>0.84154</v>
      </c>
      <c r="R30" s="0">
        <f>6780000*2*3.1415926*P30*0.000001/Q30</f>
        <v/>
      </c>
      <c r="T30" s="3">
        <f>ABS(L30-P30)/P30*100</f>
        <v/>
      </c>
      <c r="U30" s="3">
        <f>ABS(M30-Q30)/Q30*100</f>
        <v/>
      </c>
      <c r="W30" s="0" t="n">
        <v>2.725899934768677</v>
      </c>
      <c r="X30" s="0" t="n">
        <v>0.9337435960769653</v>
      </c>
      <c r="Y30" s="0">
        <f>6780000*2*3.1415926*W30*0.000001/X30</f>
        <v/>
      </c>
      <c r="AA30" s="3">
        <f>ABS(W30-P30)/P30*100</f>
        <v/>
      </c>
      <c r="AB30" s="3">
        <f>ABS(X30-Q30)/Q30*100</f>
        <v/>
      </c>
    </row>
    <row r="31">
      <c r="A31" s="0" t="n">
        <v>5</v>
      </c>
      <c r="B31" s="0" t="n">
        <v>70</v>
      </c>
      <c r="C31" s="0" t="n">
        <v>0.4</v>
      </c>
      <c r="D31" s="0" t="n">
        <v>49.9</v>
      </c>
      <c r="E31" s="0" t="n">
        <v>0.4</v>
      </c>
      <c r="F31" s="0">
        <f>B31</f>
        <v/>
      </c>
      <c r="G31" s="0">
        <f>F31-(A31-1)*2*(C31+E31)-2*C31</f>
        <v/>
      </c>
      <c r="H31" s="0">
        <f>2.34*0.000001257*(0.5*A31^2*(F31+G31))/(1+2.73*(F31-G31)/(F31+G31))*1000</f>
        <v/>
      </c>
      <c r="I31" s="0">
        <f>0.0000000168*4*0.5*(F31+G31)/(0.00007*C31)</f>
        <v/>
      </c>
      <c r="J31" s="0" t="n">
        <v>6.78</v>
      </c>
      <c r="L31" s="0" t="n">
        <v>4.310220925</v>
      </c>
      <c r="M31" s="0" t="n">
        <v>2.302698229</v>
      </c>
      <c r="N31" s="0" t="n">
        <v>79.73923526</v>
      </c>
      <c r="P31" s="0" t="n">
        <v>4.4965</v>
      </c>
      <c r="Q31" s="0" t="n">
        <v>2.2783</v>
      </c>
      <c r="R31" s="0">
        <f>6780000*2*3.1415926*P31*0.000001/Q31</f>
        <v/>
      </c>
      <c r="T31" s="3">
        <f>ABS(L31-P31)/P31*100</f>
        <v/>
      </c>
      <c r="U31" s="3">
        <f>ABS(M31-Q31)/Q31*100</f>
        <v/>
      </c>
      <c r="W31" s="0" t="n">
        <v>4.433164596557617</v>
      </c>
      <c r="X31" s="0" t="n">
        <v>2.387065887451172</v>
      </c>
      <c r="Y31" s="0">
        <f>6780000*2*3.1415926*W31*0.000001/X31</f>
        <v/>
      </c>
      <c r="AA31" s="3">
        <f>ABS(W31-P31)/P31*100</f>
        <v/>
      </c>
      <c r="AB31" s="3">
        <f>ABS(X31-Q31)/Q31*100</f>
        <v/>
      </c>
    </row>
    <row r="32">
      <c r="A32" s="0" t="n">
        <v>5</v>
      </c>
      <c r="B32" s="0" t="n">
        <v>75</v>
      </c>
      <c r="C32" s="0" t="n">
        <v>0.8</v>
      </c>
      <c r="D32" s="0" t="n">
        <v>49.9</v>
      </c>
      <c r="E32" s="0" t="n">
        <v>1</v>
      </c>
      <c r="F32" s="0">
        <f>B32</f>
        <v/>
      </c>
      <c r="G32" s="0">
        <f>F32-(A32-1)*2*(C32+E32)-2*C32</f>
        <v/>
      </c>
      <c r="H32" s="0">
        <f>2.34*0.000001257*(0.5*A32^2*(F32+G32))/(1+2.73*(F32-G32)/(F32+G32))*1000</f>
        <v/>
      </c>
      <c r="I32" s="0">
        <f>0.0000000168*4*0.5*(F32+G32)/(0.00007*C32)</f>
        <v/>
      </c>
      <c r="J32" s="0" t="n">
        <v>6.78</v>
      </c>
      <c r="L32" s="0" t="n">
        <v>3.358637014</v>
      </c>
      <c r="M32" s="0" t="n">
        <v>1.130260103</v>
      </c>
      <c r="N32" s="0" t="n">
        <v>126.5884943</v>
      </c>
      <c r="P32" s="0" t="n">
        <v>3.5009</v>
      </c>
      <c r="Q32" s="0" t="n">
        <v>1.0051</v>
      </c>
      <c r="R32" s="0">
        <f>6780000*2*3.1415926*P32*0.000001/Q32</f>
        <v/>
      </c>
      <c r="T32" s="3">
        <f>ABS(L32-P32)/P32*100</f>
        <v/>
      </c>
      <c r="U32" s="3">
        <f>ABS(M32-Q32)/Q32*100</f>
        <v/>
      </c>
      <c r="W32" s="0" t="n">
        <v>3.420789480209351</v>
      </c>
      <c r="X32" s="0" t="n">
        <v>1.16213846206665</v>
      </c>
      <c r="Y32" s="0">
        <f>6780000*2*3.1415926*W32*0.000001/X32</f>
        <v/>
      </c>
      <c r="AA32" s="3">
        <f>ABS(W32-P32)/P32*100</f>
        <v/>
      </c>
      <c r="AB32" s="3">
        <f>ABS(X32-Q32)/Q32*100</f>
        <v/>
      </c>
    </row>
    <row r="33">
      <c r="A33" s="0" t="n">
        <v>5</v>
      </c>
      <c r="B33" s="0" t="n">
        <v>80</v>
      </c>
      <c r="C33" s="0" t="n">
        <v>1</v>
      </c>
      <c r="D33" s="0" t="n">
        <v>89.90000000000001</v>
      </c>
      <c r="E33" s="0" t="n">
        <v>0.8</v>
      </c>
      <c r="F33" s="0">
        <f>B33</f>
        <v/>
      </c>
      <c r="G33" s="0">
        <f>F33-(A33-1)*2*(C33+E33)-2*C33</f>
        <v/>
      </c>
      <c r="H33" s="0">
        <f>2.34*0.000001257*(0.5*A33^2*(F33+G33))/(1+2.73*(F33-G33)/(F33+G33))*1000</f>
        <v/>
      </c>
      <c r="I33" s="0">
        <f>0.0000000168*4*0.5*(F33+G33)/(0.00007*C33)</f>
        <v/>
      </c>
      <c r="J33" s="0" t="n">
        <v>6.78</v>
      </c>
      <c r="L33" s="0" t="n">
        <v>1.252414386</v>
      </c>
      <c r="M33" s="0" t="n">
        <v>1.782394566</v>
      </c>
      <c r="N33" s="0" t="n">
        <v>29.93324223</v>
      </c>
      <c r="P33" s="0" t="n">
        <v>3.5184</v>
      </c>
      <c r="Q33" s="0" t="n">
        <v>1.105</v>
      </c>
      <c r="R33" s="0">
        <f>6780000*2*3.1415926*P33*0.000001/Q33</f>
        <v/>
      </c>
      <c r="T33" s="3">
        <f>ABS(L33-P33)/P33*100</f>
        <v/>
      </c>
      <c r="U33" s="3">
        <f>ABS(M33-Q33)/Q33*100</f>
        <v/>
      </c>
      <c r="W33" s="0" t="n">
        <v>2.987696409225464</v>
      </c>
      <c r="X33" s="0" t="n">
        <v>1.213414430618286</v>
      </c>
      <c r="Y33" s="0">
        <f>6780000*2*3.1415926*W33*0.000001/X33</f>
        <v/>
      </c>
      <c r="AA33" s="3">
        <f>ABS(W33-P33)/P33*100</f>
        <v/>
      </c>
      <c r="AB33" s="3">
        <f>ABS(X33-Q33)/Q33*100</f>
        <v/>
      </c>
    </row>
    <row r="34">
      <c r="A34" s="0" t="n">
        <v>6</v>
      </c>
      <c r="B34" s="0" t="n">
        <v>50</v>
      </c>
      <c r="C34" s="0" t="n">
        <v>0.4</v>
      </c>
      <c r="D34" s="0" t="n">
        <v>29.9</v>
      </c>
      <c r="E34" s="0" t="n">
        <v>0.6</v>
      </c>
      <c r="F34" s="0">
        <f>B34</f>
        <v/>
      </c>
      <c r="G34" s="0">
        <f>F34-(A34-1)*2*(C34+E34)-2*C34</f>
        <v/>
      </c>
      <c r="H34" s="0">
        <f>2.34*0.000001257*(0.5*A34^2*(F34+G34))/(1+2.73*(F34-G34)/(F34+G34))*1000</f>
        <v/>
      </c>
      <c r="I34" s="0">
        <f>0.0000000168*4*0.5*(F34+G34)/(0.00007*C34)</f>
        <v/>
      </c>
      <c r="J34" s="0" t="n">
        <v>6.78</v>
      </c>
      <c r="L34" s="0" t="n">
        <v>3.2376657541121</v>
      </c>
      <c r="M34" s="0" t="n">
        <v>1.49393100615228</v>
      </c>
      <c r="N34" s="0" t="n">
        <v>92.32323905554981</v>
      </c>
      <c r="P34" s="0" t="n">
        <v>3.3943</v>
      </c>
      <c r="Q34" s="0" t="n">
        <v>1.5875</v>
      </c>
      <c r="R34" s="0">
        <f>6780000*2*3.1415926*P34*0.000001/Q34</f>
        <v/>
      </c>
      <c r="T34" s="3">
        <f>ABS(L34-P34)/P34*100</f>
        <v/>
      </c>
      <c r="U34" s="3">
        <f>ABS(M34-Q34)/Q34*100</f>
        <v/>
      </c>
      <c r="W34" s="0" t="n">
        <v>3.242327451705933</v>
      </c>
      <c r="X34" s="0" t="n">
        <v>1.525694131851196</v>
      </c>
      <c r="Y34" s="0">
        <f>6780000*2*3.1415926*W34*0.000001/X34</f>
        <v/>
      </c>
      <c r="AA34" s="3">
        <f>ABS(W34-P34)/P34*100</f>
        <v/>
      </c>
      <c r="AB34" s="3">
        <f>ABS(X34-Q34)/Q34*100</f>
        <v/>
      </c>
    </row>
    <row r="35">
      <c r="A35" s="0" t="n">
        <v>6</v>
      </c>
      <c r="B35" s="0" t="n">
        <v>50</v>
      </c>
      <c r="C35" s="0" t="n">
        <v>0.4</v>
      </c>
      <c r="D35" s="0" t="n">
        <v>89.90000000000001</v>
      </c>
      <c r="E35" s="0" t="n">
        <v>0.6</v>
      </c>
      <c r="F35" s="0">
        <f>B35</f>
        <v/>
      </c>
      <c r="G35" s="0">
        <f>F35-(A35-1)*2*(C35+E35)-2*C35</f>
        <v/>
      </c>
      <c r="H35" s="0">
        <f>2.34*0.000001257*(0.5*A35^2*(F35+G35))/(1+2.73*(F35-G35)/(F35+G35))*1000</f>
        <v/>
      </c>
      <c r="I35" s="0">
        <f>0.0000000168*4*0.5*(F35+G35)/(0.00007*C35)</f>
        <v/>
      </c>
      <c r="J35" s="0" t="n">
        <v>6.78</v>
      </c>
      <c r="L35" s="0" t="n">
        <v>2.78076748893792</v>
      </c>
      <c r="M35" s="0" t="n">
        <v>1.47304764213508</v>
      </c>
      <c r="N35" s="0" t="n">
        <v>80.41877369161119</v>
      </c>
      <c r="P35" s="0" t="n">
        <v>2.9022</v>
      </c>
      <c r="Q35" s="0" t="n">
        <v>1.3089</v>
      </c>
      <c r="R35" s="0">
        <f>6780000*2*3.1415926*P35*0.000001/Q35</f>
        <v/>
      </c>
      <c r="T35" s="3">
        <f>ABS(L35-P35)/P35*100</f>
        <v/>
      </c>
      <c r="U35" s="3">
        <f>ABS(M35-Q35)/Q35*100</f>
        <v/>
      </c>
      <c r="W35" s="0" t="n">
        <v>2.823512315750122</v>
      </c>
      <c r="X35" s="0" t="n">
        <v>1.361753225326538</v>
      </c>
      <c r="Y35" s="0">
        <f>6780000*2*3.1415926*W35*0.000001/X35</f>
        <v/>
      </c>
      <c r="AA35" s="3">
        <f>ABS(W35-P35)/P35*100</f>
        <v/>
      </c>
      <c r="AB35" s="3">
        <f>ABS(X35-Q35)/Q35*100</f>
        <v/>
      </c>
    </row>
    <row r="36" ht="15" customHeight="1" s="1">
      <c r="A36" s="0" t="n">
        <v>6</v>
      </c>
      <c r="B36" s="0" t="n">
        <v>50</v>
      </c>
      <c r="C36" s="0" t="n">
        <v>0.4</v>
      </c>
      <c r="D36" s="0" t="n">
        <v>89.90000000000001</v>
      </c>
      <c r="E36" s="0" t="n">
        <v>0.8</v>
      </c>
      <c r="F36" s="0">
        <f>B36</f>
        <v/>
      </c>
      <c r="G36" s="0">
        <f>F36-(A36-1)*2*(C36+E36)-2*C36</f>
        <v/>
      </c>
      <c r="H36" s="0">
        <f>2.34*0.000001257*(0.5*A36^2*(F36+G36))/(1+2.73*(F36-G36)/(F36+G36))*1000</f>
        <v/>
      </c>
      <c r="I36" s="0">
        <f>0.0000000168*4*0.5*(F36+G36)/(0.00007*C36)</f>
        <v/>
      </c>
      <c r="J36" s="0" t="n">
        <v>6.78</v>
      </c>
      <c r="L36" s="0" t="n">
        <v>2.53241125618172</v>
      </c>
      <c r="M36" s="0" t="n">
        <v>1.48300191773088</v>
      </c>
      <c r="N36" s="0" t="n">
        <v>72.7448218798399</v>
      </c>
      <c r="P36" s="0" t="n">
        <v>2.641</v>
      </c>
      <c r="Q36" s="0" t="n">
        <v>1.1477</v>
      </c>
      <c r="R36" s="0">
        <f>6780000*2*3.1415926*P36*0.000001/Q36</f>
        <v/>
      </c>
      <c r="T36" s="3">
        <f>ABS(L36-P36)/P36*100</f>
        <v/>
      </c>
      <c r="U36" s="3">
        <f>ABS(M36-Q36)/Q36*100</f>
        <v/>
      </c>
      <c r="W36" s="0" t="n">
        <v>2.584694623947144</v>
      </c>
      <c r="X36" s="0" t="n">
        <v>1.206529140472412</v>
      </c>
      <c r="Y36" s="0">
        <f>6780000*2*3.1415926*W36*0.000001/X36</f>
        <v/>
      </c>
      <c r="AA36" s="3">
        <f>ABS(W36-P36)/P36*100</f>
        <v/>
      </c>
      <c r="AB36" s="3">
        <f>ABS(X36-Q36)/Q36*100</f>
        <v/>
      </c>
    </row>
    <row r="37">
      <c r="A37" s="0" t="n">
        <v>6</v>
      </c>
      <c r="B37" s="0" t="n">
        <v>60</v>
      </c>
      <c r="C37" s="0" t="n">
        <v>0.4</v>
      </c>
      <c r="D37" s="0" t="n">
        <v>9.9</v>
      </c>
      <c r="E37" s="0" t="n">
        <v>0.4</v>
      </c>
      <c r="F37" s="0">
        <f>B37</f>
        <v/>
      </c>
      <c r="G37" s="0">
        <f>F37-(A37-1)*2*(C37+E37)-2*C37</f>
        <v/>
      </c>
      <c r="H37" s="0">
        <f>2.34*0.000001257*(0.5*A37^2*(F37+G37))/(1+2.73*(F37-G37)/(F37+G37))*1000</f>
        <v/>
      </c>
      <c r="I37" s="0">
        <f>0.0000000168*4*0.5*(F37+G37)/(0.00007*C37)</f>
        <v/>
      </c>
      <c r="J37" s="0" t="n">
        <v>6.78</v>
      </c>
      <c r="L37" s="0" t="n">
        <v>5.38857812626744</v>
      </c>
      <c r="M37" s="0" t="n">
        <v>3.29627845511615</v>
      </c>
      <c r="N37" s="0" t="n">
        <v>69.6401750678797</v>
      </c>
      <c r="P37" s="0" t="n">
        <v>5.6957</v>
      </c>
      <c r="Q37" s="0" t="n">
        <v>3.1934</v>
      </c>
      <c r="R37" s="0">
        <f>6780000*2*3.1415926*P37*0.000001/Q37</f>
        <v/>
      </c>
      <c r="T37" s="3">
        <f>ABS(L37-P37)/P37*100</f>
        <v/>
      </c>
      <c r="U37" s="3">
        <f>ABS(M37-Q37)/Q37*100</f>
        <v/>
      </c>
      <c r="W37" s="0" t="n">
        <v>5.468377113342285</v>
      </c>
      <c r="X37" s="0" t="n">
        <v>3.371630668640137</v>
      </c>
      <c r="Y37" s="0">
        <f>6780000*2*3.1415926*W37*0.000001/X37</f>
        <v/>
      </c>
      <c r="AA37" s="3">
        <f>ABS(W37-P37)/P37*100</f>
        <v/>
      </c>
      <c r="AB37" s="3">
        <f>ABS(X37-Q37)/Q37*100</f>
        <v/>
      </c>
    </row>
    <row r="38">
      <c r="A38" s="0" t="n">
        <v>6</v>
      </c>
      <c r="B38" s="0" t="n">
        <v>65</v>
      </c>
      <c r="C38" s="0" t="n">
        <v>1.2</v>
      </c>
      <c r="D38" s="0" t="n">
        <v>49.9</v>
      </c>
      <c r="E38" s="0" t="n">
        <v>1</v>
      </c>
      <c r="F38" s="0">
        <f>B38</f>
        <v/>
      </c>
      <c r="G38" s="0">
        <f>F38-(A38-1)*2*(C38+E38)-2*C38</f>
        <v/>
      </c>
      <c r="H38" s="0">
        <f>2.34*0.000001257*(0.5*A38^2*(F38+G38))/(1+2.73*(F38-G38)/(F38+G38))*1000</f>
        <v/>
      </c>
      <c r="I38" s="0">
        <f>0.0000000168*4*0.5*(F38+G38)/(0.00007*C38)</f>
        <v/>
      </c>
      <c r="J38" s="0" t="n">
        <v>6.78</v>
      </c>
      <c r="L38" s="0" t="n">
        <v>2.97124757034872</v>
      </c>
      <c r="M38" s="0" t="n">
        <v>0.955003457180131</v>
      </c>
      <c r="N38" s="0" t="n">
        <v>132.538929359101</v>
      </c>
      <c r="P38" s="0" t="n">
        <v>3.0985</v>
      </c>
      <c r="Q38" s="0" t="n">
        <v>0.88225</v>
      </c>
      <c r="R38" s="0">
        <f>6780000*2*3.1415926*P38*0.000001/Q38</f>
        <v/>
      </c>
      <c r="T38" s="3">
        <f>ABS(L38-P38)/P38*100</f>
        <v/>
      </c>
      <c r="U38" s="3">
        <f>ABS(M38-Q38)/Q38*100</f>
        <v/>
      </c>
      <c r="W38" s="0" t="n">
        <v>3.000944852828979</v>
      </c>
      <c r="X38" s="0" t="n">
        <v>0.924630880355835</v>
      </c>
      <c r="Y38" s="0">
        <f>6780000*2*3.1415926*W38*0.000001/X38</f>
        <v/>
      </c>
      <c r="AA38" s="3">
        <f>ABS(W38-P38)/P38*100</f>
        <v/>
      </c>
      <c r="AB38" s="3">
        <f>ABS(X38-Q38)/Q38*100</f>
        <v/>
      </c>
    </row>
    <row r="39">
      <c r="A39" s="0" t="n">
        <v>6</v>
      </c>
      <c r="B39" s="0" t="n">
        <v>70</v>
      </c>
      <c r="C39" s="0" t="n">
        <v>0.6</v>
      </c>
      <c r="D39" s="0" t="n">
        <v>9.9</v>
      </c>
      <c r="E39" s="0" t="n">
        <v>0.6</v>
      </c>
      <c r="F39" s="0">
        <f>B39</f>
        <v/>
      </c>
      <c r="G39" s="0">
        <f>F39-(A39-1)*2*(C39+E39)-2*C39</f>
        <v/>
      </c>
      <c r="H39" s="0">
        <f>2.34*0.000001257*(0.5*A39^2*(F39+G39))/(1+2.73*(F39-G39)/(F39+G39))*1000</f>
        <v/>
      </c>
      <c r="I39" s="0">
        <f>0.0000000168*4*0.5*(F39+G39)/(0.00007*C39)</f>
        <v/>
      </c>
      <c r="J39" s="0" t="n">
        <v>6.78</v>
      </c>
      <c r="L39" s="0" t="n">
        <v>5.92258772497413</v>
      </c>
      <c r="M39" s="0" t="n">
        <v>3.17603301857189</v>
      </c>
      <c r="N39" s="0" t="n">
        <v>79.4394183513358</v>
      </c>
      <c r="P39" s="0" t="n">
        <v>6.2736</v>
      </c>
      <c r="Q39" s="0" t="n">
        <v>3.0429</v>
      </c>
      <c r="R39" s="0">
        <f>6780000*2*3.1415926*P39*0.000001/Q39</f>
        <v/>
      </c>
      <c r="T39" s="3">
        <f>ABS(L39-P39)/P39*100</f>
        <v/>
      </c>
      <c r="U39" s="3">
        <f>ABS(M39-Q39)/Q39*100</f>
        <v/>
      </c>
      <c r="W39" s="0" t="n">
        <v>5.989512920379639</v>
      </c>
      <c r="X39" s="0" t="n">
        <v>3.23024845123291</v>
      </c>
      <c r="Y39" s="0">
        <f>6780000*2*3.1415926*W39*0.000001/X39</f>
        <v/>
      </c>
      <c r="AA39" s="3">
        <f>ABS(W39-P39)/P39*100</f>
        <v/>
      </c>
      <c r="AB39" s="3">
        <f>ABS(X39-Q39)/Q39*100</f>
        <v/>
      </c>
    </row>
    <row r="40">
      <c r="A40" s="0" t="n">
        <v>6</v>
      </c>
      <c r="B40" s="0" t="n">
        <v>70</v>
      </c>
      <c r="C40" s="0" t="n">
        <v>0.4</v>
      </c>
      <c r="D40" s="0" t="n">
        <v>49.9</v>
      </c>
      <c r="E40" s="0" t="n">
        <v>0.4</v>
      </c>
      <c r="F40" s="0">
        <f>B40</f>
        <v/>
      </c>
      <c r="G40" s="0">
        <f>F40-(A40-1)*2*(C40+E40)-2*C40</f>
        <v/>
      </c>
      <c r="H40" s="0">
        <f>2.34*0.000001257*(0.5*A40^2*(F40+G40))/(1+2.73*(F40-G40)/(F40+G40))*1000</f>
        <v/>
      </c>
      <c r="I40" s="0">
        <f>0.0000000168*4*0.5*(F40+G40)/(0.00007*C40)</f>
        <v/>
      </c>
      <c r="J40" s="0" t="n">
        <v>6.78</v>
      </c>
      <c r="L40" s="0" t="n">
        <v>6.58450685488947</v>
      </c>
      <c r="M40" s="0" t="n">
        <v>4.21364681933498</v>
      </c>
      <c r="N40" s="0" t="n">
        <v>66.5694065560714</v>
      </c>
      <c r="P40" s="0" t="n">
        <v>6.7918</v>
      </c>
      <c r="Q40" s="0" t="n">
        <v>4.2211</v>
      </c>
      <c r="R40" s="0">
        <f>6780000*2*3.1415926*P40*0.000001/Q40</f>
        <v/>
      </c>
      <c r="T40" s="3">
        <f>ABS(L40-P40)/P40*100</f>
        <v/>
      </c>
      <c r="U40" s="3">
        <f>ABS(M40-Q40)/Q40*100</f>
        <v/>
      </c>
      <c r="W40" s="0" t="n">
        <v>6.814589023590088</v>
      </c>
      <c r="X40" s="0" t="n">
        <v>4.426016330718994</v>
      </c>
      <c r="Y40" s="0">
        <f>6780000*2*3.1415926*W40*0.000001/X40</f>
        <v/>
      </c>
      <c r="AA40" s="3">
        <f>ABS(W40-P40)/P40*100</f>
        <v/>
      </c>
      <c r="AB40" s="3">
        <f>ABS(X40-Q40)/Q40*100</f>
        <v/>
      </c>
    </row>
    <row r="41">
      <c r="A41" s="0" t="n">
        <v>7</v>
      </c>
      <c r="B41" s="0" t="n">
        <v>40</v>
      </c>
      <c r="C41" s="0" t="n">
        <v>0.8</v>
      </c>
      <c r="D41" s="0" t="n">
        <v>30</v>
      </c>
      <c r="E41" s="0" t="n">
        <v>0.5</v>
      </c>
      <c r="F41" s="0">
        <f>B41</f>
        <v/>
      </c>
      <c r="G41" s="0">
        <f>F41-(A41-1)*2*(C41+E41)-2*C41</f>
        <v/>
      </c>
      <c r="H41" s="0">
        <f>2.34*0.000001257*(0.5*A41^2*(F41+G41))/(1+2.73*(F41-G41)/(F41+G41))*1000</f>
        <v/>
      </c>
      <c r="I41" s="0">
        <f>0.0000000168*4*0.5*(F41+G41)/(0.00007*C41)</f>
        <v/>
      </c>
      <c r="J41" s="0" t="n">
        <v>6.78</v>
      </c>
      <c r="L41" s="0" t="n">
        <v>2.201286036</v>
      </c>
      <c r="M41" s="0" t="n">
        <v>1.0064414</v>
      </c>
      <c r="N41" s="0" t="n">
        <v>93.17460229</v>
      </c>
      <c r="P41" s="0" t="n">
        <v>2.2886</v>
      </c>
      <c r="Q41" s="0" t="n">
        <v>0.88001</v>
      </c>
      <c r="R41" s="0">
        <f>6780000*2*3.1415926*P41*0.000001/Q41</f>
        <v/>
      </c>
      <c r="T41" s="3">
        <f>ABS(L41-P41)/P41*100</f>
        <v/>
      </c>
      <c r="U41" s="3">
        <f>ABS(M41-Q41)/Q41*100</f>
        <v/>
      </c>
      <c r="W41" s="0" t="n">
        <v>2.493434429168701</v>
      </c>
      <c r="X41" s="0" t="n">
        <v>1.001788854598999</v>
      </c>
      <c r="Y41" s="0">
        <f>6780000*2*3.1415926*W41*0.000001/X41</f>
        <v/>
      </c>
      <c r="AA41" s="3">
        <f>ABS(W41-P41)/P41*100</f>
        <v/>
      </c>
      <c r="AB41" s="3">
        <f>ABS(X41-Q41)/Q41*100</f>
        <v/>
      </c>
    </row>
    <row r="42">
      <c r="A42" s="0" t="n">
        <v>7</v>
      </c>
      <c r="B42" s="0" t="n">
        <v>45</v>
      </c>
      <c r="C42" s="0" t="n">
        <v>1</v>
      </c>
      <c r="D42" s="0" t="n">
        <v>69.90000000000001</v>
      </c>
      <c r="E42" s="0" t="n">
        <v>1</v>
      </c>
      <c r="F42" s="0">
        <f>B42</f>
        <v/>
      </c>
      <c r="G42" s="0">
        <f>F42-(A42-1)*2*(C42+E42)-2*C42</f>
        <v/>
      </c>
      <c r="H42" s="0">
        <f>2.34*0.000001257*(0.5*A42^2*(F42+G42))/(1+2.73*(F42-G42)/(F42+G42))*1000</f>
        <v/>
      </c>
      <c r="I42" s="0">
        <f>0.0000000168*4*0.5*(F42+G42)/(0.00007*C42)</f>
        <v/>
      </c>
      <c r="J42" s="0" t="n">
        <v>6.78</v>
      </c>
      <c r="L42" s="0" t="n">
        <v>1.69672084667797</v>
      </c>
      <c r="M42" s="0" t="n">
        <v>0.633516960284142</v>
      </c>
      <c r="N42" s="0" t="n">
        <v>114.093712500572</v>
      </c>
      <c r="P42" s="0" t="n">
        <v>1.7686</v>
      </c>
      <c r="Q42" s="0" t="n">
        <v>0.62581</v>
      </c>
      <c r="R42" s="0">
        <f>6780000*2*3.1415926*P42*0.000001/Q42</f>
        <v/>
      </c>
      <c r="T42" s="3">
        <f>ABS(L42-P42)/P42*100</f>
        <v/>
      </c>
      <c r="U42" s="3">
        <f>ABS(M42-Q42)/Q42*100</f>
        <v/>
      </c>
      <c r="W42" s="0" t="n">
        <v>1.699249267578125</v>
      </c>
      <c r="X42" s="0" t="n">
        <v>0.6909172534942627</v>
      </c>
      <c r="Y42" s="0">
        <f>6780000*2*3.1415926*W42*0.000001/X42</f>
        <v/>
      </c>
      <c r="AA42" s="3">
        <f>ABS(W42-P42)/P42*100</f>
        <v/>
      </c>
      <c r="AB42" s="3">
        <f>ABS(X42-Q42)/Q42*100</f>
        <v/>
      </c>
    </row>
    <row r="43">
      <c r="A43" s="0" t="n">
        <v>7</v>
      </c>
      <c r="B43" s="0" t="n">
        <v>50</v>
      </c>
      <c r="C43" s="0" t="n">
        <v>0.8</v>
      </c>
      <c r="D43" s="0" t="n">
        <v>89.90000000000001</v>
      </c>
      <c r="E43" s="0" t="n">
        <v>1.2</v>
      </c>
      <c r="F43" s="0">
        <f>B43</f>
        <v/>
      </c>
      <c r="G43" s="0">
        <f>F43-(A43-1)*2*(C43+E43)-2*C43</f>
        <v/>
      </c>
      <c r="H43" s="0">
        <f>2.34*0.000001257*(0.5*A43^2*(F43+G43))/(1+2.73*(F43-G43)/(F43+G43))*1000</f>
        <v/>
      </c>
      <c r="I43" s="0">
        <f>0.0000000168*4*0.5*(F43+G43)/(0.00007*C43)</f>
        <v/>
      </c>
      <c r="J43" s="0" t="n">
        <v>6.78</v>
      </c>
      <c r="L43" s="0" t="n">
        <v>2.08768960299055</v>
      </c>
      <c r="M43" s="0" t="n">
        <v>0.7919871983105951</v>
      </c>
      <c r="N43" s="0" t="n">
        <v>112.294200872516</v>
      </c>
      <c r="P43" s="0" t="n">
        <v>2.1834</v>
      </c>
      <c r="Q43" s="0" t="n">
        <v>0.7759200000000001</v>
      </c>
      <c r="R43" s="0">
        <f>6780000*2*3.1415926*P43*0.000001/Q43</f>
        <v/>
      </c>
      <c r="T43" s="3">
        <f>ABS(L43-P43)/P43*100</f>
        <v/>
      </c>
      <c r="U43" s="3">
        <f>ABS(M43-Q43)/Q43*100</f>
        <v/>
      </c>
      <c r="W43" s="0" t="n">
        <v>2.068652153015137</v>
      </c>
      <c r="X43" s="0" t="n">
        <v>0.8333082795143127</v>
      </c>
      <c r="Y43" s="0">
        <f>6780000*2*3.1415926*W43*0.000001/X43</f>
        <v/>
      </c>
      <c r="AA43" s="3">
        <f>ABS(W43-P43)/P43*100</f>
        <v/>
      </c>
      <c r="AB43" s="3">
        <f>ABS(X43-Q43)/Q43*100</f>
        <v/>
      </c>
    </row>
    <row r="44">
      <c r="A44" s="0" t="n">
        <v>7</v>
      </c>
      <c r="B44" s="0" t="n">
        <v>55</v>
      </c>
      <c r="C44" s="0" t="n">
        <v>1.2</v>
      </c>
      <c r="D44" s="0" t="n">
        <v>9.9</v>
      </c>
      <c r="E44" s="0" t="n">
        <v>0.8</v>
      </c>
      <c r="F44" s="0">
        <f>B44</f>
        <v/>
      </c>
      <c r="G44" s="0">
        <f>F44-(A44-1)*2*(C44+E44)-2*C44</f>
        <v/>
      </c>
      <c r="H44" s="0">
        <f>2.34*0.000001257*(0.5*A44^2*(F44+G44))/(1+2.73*(F44-G44)/(F44+G44))*1000</f>
        <v/>
      </c>
      <c r="I44" s="0">
        <f>0.0000000168*4*0.5*(F44+G44)/(0.00007*C44)</f>
        <v/>
      </c>
      <c r="J44" s="0" t="n">
        <v>6.78</v>
      </c>
      <c r="L44" s="0" t="n">
        <v>3.03811150435175</v>
      </c>
      <c r="M44" s="0" t="n">
        <v>1.70401034150722</v>
      </c>
      <c r="N44" s="0" t="n">
        <v>75.95232020779829</v>
      </c>
      <c r="P44" s="0" t="n">
        <v>3.164</v>
      </c>
      <c r="Q44" s="0" t="n">
        <v>1.0865</v>
      </c>
      <c r="R44" s="0">
        <f>6780000*2*3.1415926*P44*0.000001/Q44</f>
        <v/>
      </c>
      <c r="T44" s="3">
        <f>ABS(L44-P44)/P44*100</f>
        <v/>
      </c>
      <c r="U44" s="3">
        <f>ABS(M44-Q44)/Q44*100</f>
        <v/>
      </c>
      <c r="W44" s="0" t="n">
        <v>3.102859258651733</v>
      </c>
      <c r="X44" s="0" t="n">
        <v>1.861116290092468</v>
      </c>
      <c r="Y44" s="0">
        <f>6780000*2*3.1415926*W44*0.000001/X44</f>
        <v/>
      </c>
      <c r="AA44" s="3">
        <f>ABS(W44-P44)/P44*100</f>
        <v/>
      </c>
      <c r="AB44" s="3">
        <f>ABS(X44-Q44)/Q44*100</f>
        <v/>
      </c>
    </row>
    <row r="45">
      <c r="A45" s="0" t="n">
        <v>7</v>
      </c>
      <c r="B45" s="0" t="n">
        <v>55</v>
      </c>
      <c r="C45" s="0" t="n">
        <v>1.2</v>
      </c>
      <c r="D45" s="0" t="n">
        <v>9.9</v>
      </c>
      <c r="E45" s="0" t="n">
        <v>1</v>
      </c>
      <c r="F45" s="0">
        <f>B45</f>
        <v/>
      </c>
      <c r="G45" s="0">
        <f>F45-(A45-1)*2*(C45+E45)-2*C45</f>
        <v/>
      </c>
      <c r="H45" s="0">
        <f>2.34*0.000001257*(0.5*A45^2*(F45+G45))/(1+2.73*(F45-G45)/(F45+G45))*1000</f>
        <v/>
      </c>
      <c r="I45" s="0">
        <f>0.0000000168*4*0.5*(F45+G45)/(0.00007*C45)</f>
        <v/>
      </c>
      <c r="J45" s="0" t="n">
        <v>6.78</v>
      </c>
      <c r="L45" s="0" t="n">
        <v>2.73509094999753</v>
      </c>
      <c r="M45" s="0" t="n">
        <v>1.00740697738689</v>
      </c>
      <c r="N45" s="0" t="n">
        <v>115.658187000467</v>
      </c>
      <c r="P45" s="0" t="n">
        <v>2.8702</v>
      </c>
      <c r="Q45" s="0" t="n">
        <v>1.0416</v>
      </c>
      <c r="R45" s="0">
        <f>6780000*2*3.1415926*P45*0.000001/Q45</f>
        <v/>
      </c>
      <c r="T45" s="3">
        <f>ABS(L45-P45)/P45*100</f>
        <v/>
      </c>
      <c r="U45" s="3">
        <f>ABS(M45-Q45)/Q45*100</f>
        <v/>
      </c>
      <c r="W45" s="0" t="n">
        <v>2.764742612838745</v>
      </c>
      <c r="X45" s="0" t="n">
        <v>1.183271527290344</v>
      </c>
      <c r="Y45" s="0">
        <f>6780000*2*3.1415926*W45*0.000001/X45</f>
        <v/>
      </c>
      <c r="AA45" s="3">
        <f>ABS(W45-P45)/P45*100</f>
        <v/>
      </c>
      <c r="AB45" s="3">
        <f>ABS(X45-Q45)/Q45*100</f>
        <v/>
      </c>
    </row>
    <row r="46">
      <c r="A46" s="0" t="n">
        <v>7</v>
      </c>
      <c r="B46" s="0" t="n">
        <v>60</v>
      </c>
      <c r="C46" s="0" t="n">
        <v>1</v>
      </c>
      <c r="D46" s="0" t="n">
        <v>40</v>
      </c>
      <c r="E46" s="0" t="n">
        <v>0.7</v>
      </c>
      <c r="F46" s="0">
        <f>B46</f>
        <v/>
      </c>
      <c r="G46" s="0">
        <f>F46-(A46-1)*2*(C46+E46)-2*C46</f>
        <v/>
      </c>
      <c r="H46" s="0">
        <f>2.34*0.000001257*(0.5*A46^2*(F46+G46))/(1+2.73*(F46-G46)/(F46+G46))*1000</f>
        <v/>
      </c>
      <c r="I46" s="0">
        <f>0.0000000168*4*0.5*(F46+G46)/(0.00007*C46)</f>
        <v/>
      </c>
      <c r="J46" s="0" t="n">
        <v>6.78</v>
      </c>
      <c r="L46" s="0" t="n">
        <v>4.041945366</v>
      </c>
      <c r="M46" s="0" t="n">
        <v>1.68460818</v>
      </c>
      <c r="N46" s="0" t="n">
        <v>102.211814</v>
      </c>
      <c r="P46" s="0" t="n">
        <v>4.2053</v>
      </c>
      <c r="Q46" s="0" t="n">
        <v>1.5208</v>
      </c>
      <c r="R46" s="0">
        <f>6780000*2*3.1415926*P46*0.000001/Q46</f>
        <v/>
      </c>
      <c r="T46" s="3">
        <f>ABS(L46-P46)/P46*100</f>
        <v/>
      </c>
      <c r="U46" s="3">
        <f>ABS(M46-Q46)/Q46*100</f>
        <v/>
      </c>
      <c r="W46" s="0" t="n">
        <v>4.009979724884033</v>
      </c>
      <c r="X46" s="0" t="n">
        <v>1.601717591285706</v>
      </c>
      <c r="Y46" s="0">
        <f>6780000*2*3.1415926*W46*0.000001/X46</f>
        <v/>
      </c>
      <c r="AA46" s="3">
        <f>ABS(W46-P46)/P46*100</f>
        <v/>
      </c>
      <c r="AB46" s="3">
        <f>ABS(X46-Q46)/Q46*100</f>
        <v/>
      </c>
    </row>
    <row r="47">
      <c r="A47" s="0" t="n">
        <v>7</v>
      </c>
      <c r="B47" s="0" t="n">
        <v>70</v>
      </c>
      <c r="C47" s="0" t="n">
        <v>0.8</v>
      </c>
      <c r="D47" s="0" t="n">
        <v>69.90000000000001</v>
      </c>
      <c r="E47" s="0" t="n">
        <v>0.6</v>
      </c>
      <c r="F47" s="0">
        <f>B47</f>
        <v/>
      </c>
      <c r="G47" s="0">
        <f>F47-(A47-1)*2*(C47+E47)-2*C47</f>
        <v/>
      </c>
      <c r="H47" s="0">
        <f>2.34*0.000001257*(0.5*A47^2*(F47+G47))/(1+2.73*(F47-G47)/(F47+G47))*1000</f>
        <v/>
      </c>
      <c r="I47" s="0">
        <f>0.0000000168*4*0.5*(F47+G47)/(0.00007*C47)</f>
        <v/>
      </c>
      <c r="J47" s="0" t="n">
        <v>6.78</v>
      </c>
      <c r="L47" s="0" t="n">
        <v>6.12580414950455</v>
      </c>
      <c r="M47" s="0" t="n">
        <v>3.15214307397654</v>
      </c>
      <c r="N47" s="0" t="n">
        <v>82.78787748066139</v>
      </c>
      <c r="P47" s="0" t="n">
        <v>6.536</v>
      </c>
      <c r="Q47" s="0" t="n">
        <v>3.1207</v>
      </c>
      <c r="R47" s="0">
        <f>6780000*2*3.1415926*P47*0.000001/Q47</f>
        <v/>
      </c>
      <c r="T47" s="3">
        <f>ABS(L47-P47)/P47*100</f>
        <v/>
      </c>
      <c r="U47" s="3">
        <f>ABS(M47-Q47)/Q47*100</f>
        <v/>
      </c>
      <c r="W47" s="0" t="n">
        <v>6.35055685043335</v>
      </c>
      <c r="X47" s="0" t="n">
        <v>3.323145389556885</v>
      </c>
      <c r="Y47" s="0">
        <f>6780000*2*3.1415926*W47*0.000001/X47</f>
        <v/>
      </c>
      <c r="AA47" s="3">
        <f>ABS(W47-P47)/P47*100</f>
        <v/>
      </c>
      <c r="AB47" s="3">
        <f>ABS(X47-Q47)/Q47*100</f>
        <v/>
      </c>
    </row>
    <row r="48">
      <c r="A48" s="0" t="n">
        <v>7</v>
      </c>
      <c r="B48" s="0" t="n">
        <v>80</v>
      </c>
      <c r="C48" s="0" t="n">
        <v>1</v>
      </c>
      <c r="D48" s="0" t="n">
        <v>49.9</v>
      </c>
      <c r="E48" s="0" t="n">
        <v>1</v>
      </c>
      <c r="F48" s="0">
        <f>B48</f>
        <v/>
      </c>
      <c r="G48" s="0">
        <f>F48-(A48-1)*2*(C48+E48)-2*C48</f>
        <v/>
      </c>
      <c r="H48" s="0">
        <f>2.34*0.000001257*(0.5*A48^2*(F48+G48))/(1+2.73*(F48-G48)/(F48+G48))*1000</f>
        <v/>
      </c>
      <c r="I48" s="0">
        <f>0.0000000168*4*0.5*(F48+G48)/(0.00007*C48)</f>
        <v/>
      </c>
      <c r="J48" s="0" t="n">
        <v>6.78</v>
      </c>
      <c r="L48" s="0" t="n">
        <v>6.54327344980365</v>
      </c>
      <c r="M48" s="0" t="n">
        <v>2.88768699272549</v>
      </c>
      <c r="N48" s="0" t="n">
        <v>96.5282684704753</v>
      </c>
      <c r="P48" s="0" t="n">
        <v>6.9462</v>
      </c>
      <c r="Q48" s="0" t="n">
        <v>2.9069</v>
      </c>
      <c r="R48" s="0">
        <f>6780000*2*3.1415926*P48*0.000001/Q48</f>
        <v/>
      </c>
      <c r="T48" s="3">
        <f>ABS(L48-P48)/P48*100</f>
        <v/>
      </c>
      <c r="U48" s="3">
        <f>ABS(M48-Q48)/Q48*100</f>
        <v/>
      </c>
      <c r="W48" s="0" t="n">
        <v>6.730019569396973</v>
      </c>
      <c r="X48" s="0" t="n">
        <v>3.013234853744507</v>
      </c>
      <c r="Y48" s="0">
        <f>6780000*2*3.1415926*W48*0.000001/X48</f>
        <v/>
      </c>
      <c r="AA48" s="3">
        <f>ABS(W48-P48)/P48*100</f>
        <v/>
      </c>
      <c r="AB48" s="3">
        <f>ABS(X48-Q48)/Q48*100</f>
        <v/>
      </c>
    </row>
    <row r="49">
      <c r="A49" s="0" t="n">
        <v>7</v>
      </c>
      <c r="B49" s="0" t="n">
        <v>100</v>
      </c>
      <c r="C49" s="0" t="n">
        <v>0.8</v>
      </c>
      <c r="D49" s="0" t="n">
        <v>80</v>
      </c>
      <c r="E49" s="0" t="n">
        <v>0.5</v>
      </c>
      <c r="F49" s="0">
        <f>B49</f>
        <v/>
      </c>
      <c r="G49" s="0">
        <f>F49-(A49-1)*2*(C49+E49)-2*C49</f>
        <v/>
      </c>
      <c r="H49" s="0">
        <f>2.34*0.000001257*(0.5*A49^2*(F49+G49))/(1+2.73*(F49-G49)/(F49+G49))*1000</f>
        <v/>
      </c>
      <c r="I49" s="0">
        <f>0.0000000168*4*0.5*(F49+G49)/(0.00007*C49)</f>
        <v/>
      </c>
      <c r="J49" s="0" t="n">
        <v>6.78</v>
      </c>
      <c r="L49" s="0" t="n">
        <v>53.81492441</v>
      </c>
      <c r="M49" s="0" t="n">
        <v>310.1043639</v>
      </c>
      <c r="N49" s="0" t="n">
        <v>7.392722749</v>
      </c>
      <c r="P49" s="0" t="n">
        <v>25.118</v>
      </c>
      <c r="Q49" s="0" t="n">
        <v>49.35</v>
      </c>
      <c r="R49" s="0">
        <f>6780000*2*3.1415926*P49*0.000001/Q49</f>
        <v/>
      </c>
      <c r="T49" s="3">
        <f>ABS(L49-P49)/P49*100</f>
        <v/>
      </c>
      <c r="U49" s="3">
        <f>ABS(M49-Q49)/Q49*100</f>
        <v/>
      </c>
      <c r="W49" s="0" t="n">
        <v>16.82699394226074</v>
      </c>
      <c r="X49" s="0" t="n">
        <v>16.23152923583984</v>
      </c>
      <c r="Y49" s="0">
        <f>6780000*2*3.1415926*W49*0.000001/X49</f>
        <v/>
      </c>
      <c r="AA49" s="3">
        <f>ABS(W49-P49)/P49*100</f>
        <v/>
      </c>
      <c r="AB49" s="3">
        <f>ABS(X49-Q49)/Q49*100</f>
        <v/>
      </c>
    </row>
    <row r="50">
      <c r="T50" s="0" t="inlineStr">
        <is>
          <t>电感平均相对误差%</t>
        </is>
      </c>
      <c r="U50" s="0" t="inlineStr">
        <is>
          <t>电阻平均相对误差%</t>
        </is>
      </c>
      <c r="W50" s="0" t="n">
        <v/>
      </c>
      <c r="X50" t="n">
        <v/>
      </c>
      <c r="AA50" s="0" t="inlineStr">
        <is>
          <t>电感平均相对误差%</t>
        </is>
      </c>
      <c r="AB50" s="0" t="inlineStr">
        <is>
          <t>电阻平均相对误差%</t>
        </is>
      </c>
    </row>
    <row r="51">
      <c r="T51" s="3">
        <f>AVERAGEIF(T3:T49, "&lt;=50", T3:T49)</f>
        <v/>
      </c>
      <c r="U51" s="3">
        <f>AVERAGEIF(U3:U49, "&lt;=50", U3:U49)</f>
        <v/>
      </c>
      <c r="AA51" s="3">
        <f>AVERAGEIF(AA3:AA49, "&lt;=50", AA3:AA49)</f>
        <v/>
      </c>
      <c r="AB51" s="3">
        <f>AVERAGEIF(AB3:AB49, "&lt;=50", AB3:AB49)</f>
        <v/>
      </c>
    </row>
  </sheetData>
  <conditionalFormatting sqref="T3:U49">
    <cfRule type="expression" priority="2" dxfId="0">
      <formula>OR($T3&gt;=30, $U3&gt;=30)</formula>
    </cfRule>
  </conditionalFormatting>
  <conditionalFormatting sqref="AA3:AB49 AA51:AB51">
    <cfRule type="expression" priority="1" dxfId="0">
      <formula>OR($AA3&gt;=30, $AB3&gt;=30)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W</dc:creator>
  <dcterms:created xsi:type="dcterms:W3CDTF">2026-03-20T02:28:55Z</dcterms:created>
  <dcterms:modified xsi:type="dcterms:W3CDTF">2026-04-02T08:33:51Z</dcterms:modified>
  <cp:lastModifiedBy>yao W</cp:lastModifiedBy>
</cp:coreProperties>
</file>