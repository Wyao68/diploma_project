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"/>
    </mc:Choice>
  </mc:AlternateContent>
  <xr:revisionPtr revIDLastSave="0" documentId="13_ncr:1_{20AAA8EC-EAE0-47E5-A2B7-1906D3419C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51" i="1" l="1"/>
  <c r="AA51" i="1"/>
  <c r="T51" i="1"/>
  <c r="AA4" i="1"/>
  <c r="AB4" i="1"/>
  <c r="AA5" i="1"/>
  <c r="AB5" i="1"/>
  <c r="AA6" i="1"/>
  <c r="AB6" i="1"/>
  <c r="AA7" i="1"/>
  <c r="AB7" i="1"/>
  <c r="AA8" i="1"/>
  <c r="AB8" i="1"/>
  <c r="AA9" i="1"/>
  <c r="AB9" i="1"/>
  <c r="AA10" i="1"/>
  <c r="AB10" i="1"/>
  <c r="AA11" i="1"/>
  <c r="AB11" i="1"/>
  <c r="AA12" i="1"/>
  <c r="AB12" i="1"/>
  <c r="AA13" i="1"/>
  <c r="AB13" i="1"/>
  <c r="AA14" i="1"/>
  <c r="AB14" i="1"/>
  <c r="AA15" i="1"/>
  <c r="AB15" i="1"/>
  <c r="AA16" i="1"/>
  <c r="AB16" i="1"/>
  <c r="AA17" i="1"/>
  <c r="AB17" i="1"/>
  <c r="AA18" i="1"/>
  <c r="AB18" i="1"/>
  <c r="AA19" i="1"/>
  <c r="AB19" i="1"/>
  <c r="AA20" i="1"/>
  <c r="AB20" i="1"/>
  <c r="AA21" i="1"/>
  <c r="AB21" i="1"/>
  <c r="AA22" i="1"/>
  <c r="AB22" i="1"/>
  <c r="AA23" i="1"/>
  <c r="AB23" i="1"/>
  <c r="AA24" i="1"/>
  <c r="AB24" i="1"/>
  <c r="AA25" i="1"/>
  <c r="AB25" i="1"/>
  <c r="AA26" i="1"/>
  <c r="AB26" i="1"/>
  <c r="AA27" i="1"/>
  <c r="AB27" i="1"/>
  <c r="AA28" i="1"/>
  <c r="AB28" i="1"/>
  <c r="AA29" i="1"/>
  <c r="AB29" i="1"/>
  <c r="AA30" i="1"/>
  <c r="AB30" i="1"/>
  <c r="AA31" i="1"/>
  <c r="AB31" i="1"/>
  <c r="AA32" i="1"/>
  <c r="AB32" i="1"/>
  <c r="AA33" i="1"/>
  <c r="AB33" i="1"/>
  <c r="AA34" i="1"/>
  <c r="AB34" i="1"/>
  <c r="AA35" i="1"/>
  <c r="AB35" i="1"/>
  <c r="AA36" i="1"/>
  <c r="AB36" i="1"/>
  <c r="AA37" i="1"/>
  <c r="AB37" i="1"/>
  <c r="AA38" i="1"/>
  <c r="AB38" i="1"/>
  <c r="AA39" i="1"/>
  <c r="AB39" i="1"/>
  <c r="AA40" i="1"/>
  <c r="AB40" i="1"/>
  <c r="AA41" i="1"/>
  <c r="AB41" i="1"/>
  <c r="AA42" i="1"/>
  <c r="AB42" i="1"/>
  <c r="AA43" i="1"/>
  <c r="AB43" i="1"/>
  <c r="AA44" i="1"/>
  <c r="AB44" i="1"/>
  <c r="AA45" i="1"/>
  <c r="AB45" i="1"/>
  <c r="AA46" i="1"/>
  <c r="AB46" i="1"/>
  <c r="AA47" i="1"/>
  <c r="AB47" i="1"/>
  <c r="AA48" i="1"/>
  <c r="AB48" i="1"/>
  <c r="AA49" i="1"/>
  <c r="AB49" i="1"/>
  <c r="AA3" i="1"/>
  <c r="AB3" i="1"/>
  <c r="T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3" i="1"/>
  <c r="R3" i="1"/>
  <c r="U51" i="1"/>
  <c r="U49" i="1"/>
  <c r="T49" i="1"/>
  <c r="R49" i="1"/>
  <c r="F49" i="1"/>
  <c r="U48" i="1"/>
  <c r="T48" i="1"/>
  <c r="R48" i="1"/>
  <c r="F48" i="1"/>
  <c r="U47" i="1"/>
  <c r="T47" i="1"/>
  <c r="R47" i="1"/>
  <c r="F47" i="1"/>
  <c r="G47" i="1" s="1"/>
  <c r="U46" i="1"/>
  <c r="T46" i="1"/>
  <c r="R46" i="1"/>
  <c r="F46" i="1"/>
  <c r="U45" i="1"/>
  <c r="T45" i="1"/>
  <c r="R45" i="1"/>
  <c r="F45" i="1"/>
  <c r="U44" i="1"/>
  <c r="T44" i="1"/>
  <c r="R44" i="1"/>
  <c r="G44" i="1"/>
  <c r="I44" i="1" s="1"/>
  <c r="F44" i="1"/>
  <c r="U43" i="1"/>
  <c r="T43" i="1"/>
  <c r="R43" i="1"/>
  <c r="G43" i="1"/>
  <c r="H43" i="1" s="1"/>
  <c r="F43" i="1"/>
  <c r="U42" i="1"/>
  <c r="T42" i="1"/>
  <c r="R42" i="1"/>
  <c r="G42" i="1"/>
  <c r="F42" i="1"/>
  <c r="I42" i="1" s="1"/>
  <c r="U41" i="1"/>
  <c r="T41" i="1"/>
  <c r="R41" i="1"/>
  <c r="F41" i="1"/>
  <c r="U40" i="1"/>
  <c r="T40" i="1"/>
  <c r="R40" i="1"/>
  <c r="I40" i="1"/>
  <c r="G40" i="1"/>
  <c r="H40" i="1" s="1"/>
  <c r="F40" i="1"/>
  <c r="U39" i="1"/>
  <c r="T39" i="1"/>
  <c r="R39" i="1"/>
  <c r="G39" i="1"/>
  <c r="H39" i="1" s="1"/>
  <c r="F39" i="1"/>
  <c r="I39" i="1" s="1"/>
  <c r="U38" i="1"/>
  <c r="T38" i="1"/>
  <c r="R38" i="1"/>
  <c r="G38" i="1"/>
  <c r="I38" i="1" s="1"/>
  <c r="F38" i="1"/>
  <c r="U37" i="1"/>
  <c r="T37" i="1"/>
  <c r="R37" i="1"/>
  <c r="F37" i="1"/>
  <c r="U36" i="1"/>
  <c r="T36" i="1"/>
  <c r="R36" i="1"/>
  <c r="F36" i="1"/>
  <c r="G36" i="1" s="1"/>
  <c r="U35" i="1"/>
  <c r="T35" i="1"/>
  <c r="R35" i="1"/>
  <c r="F35" i="1"/>
  <c r="U34" i="1"/>
  <c r="T34" i="1"/>
  <c r="R34" i="1"/>
  <c r="F34" i="1"/>
  <c r="U33" i="1"/>
  <c r="T33" i="1"/>
  <c r="R33" i="1"/>
  <c r="F33" i="1"/>
  <c r="U32" i="1"/>
  <c r="T32" i="1"/>
  <c r="R32" i="1"/>
  <c r="F32" i="1"/>
  <c r="U31" i="1"/>
  <c r="T31" i="1"/>
  <c r="R31" i="1"/>
  <c r="F31" i="1"/>
  <c r="U30" i="1"/>
  <c r="T30" i="1"/>
  <c r="R30" i="1"/>
  <c r="F30" i="1"/>
  <c r="G30" i="1" s="1"/>
  <c r="U29" i="1"/>
  <c r="T29" i="1"/>
  <c r="R29" i="1"/>
  <c r="F29" i="1"/>
  <c r="U28" i="1"/>
  <c r="T28" i="1"/>
  <c r="R28" i="1"/>
  <c r="I28" i="1"/>
  <c r="G28" i="1"/>
  <c r="H28" i="1" s="1"/>
  <c r="F28" i="1"/>
  <c r="U27" i="1"/>
  <c r="T27" i="1"/>
  <c r="R27" i="1"/>
  <c r="G27" i="1"/>
  <c r="H27" i="1" s="1"/>
  <c r="F27" i="1"/>
  <c r="U26" i="1"/>
  <c r="T26" i="1"/>
  <c r="R26" i="1"/>
  <c r="G26" i="1"/>
  <c r="I26" i="1" s="1"/>
  <c r="F26" i="1"/>
  <c r="H26" i="1" s="1"/>
  <c r="U25" i="1"/>
  <c r="T25" i="1"/>
  <c r="R25" i="1"/>
  <c r="F25" i="1"/>
  <c r="U24" i="1"/>
  <c r="T24" i="1"/>
  <c r="R24" i="1"/>
  <c r="I24" i="1"/>
  <c r="G24" i="1"/>
  <c r="H24" i="1" s="1"/>
  <c r="F24" i="1"/>
  <c r="U23" i="1"/>
  <c r="T23" i="1"/>
  <c r="R23" i="1"/>
  <c r="G23" i="1"/>
  <c r="H23" i="1" s="1"/>
  <c r="F23" i="1"/>
  <c r="I23" i="1" s="1"/>
  <c r="U22" i="1"/>
  <c r="T22" i="1"/>
  <c r="R22" i="1"/>
  <c r="G22" i="1"/>
  <c r="H22" i="1" s="1"/>
  <c r="F22" i="1"/>
  <c r="I22" i="1" s="1"/>
  <c r="U21" i="1"/>
  <c r="T21" i="1"/>
  <c r="R21" i="1"/>
  <c r="F21" i="1"/>
  <c r="U20" i="1"/>
  <c r="T20" i="1"/>
  <c r="R20" i="1"/>
  <c r="F20" i="1"/>
  <c r="G20" i="1" s="1"/>
  <c r="U19" i="1"/>
  <c r="T19" i="1"/>
  <c r="R19" i="1"/>
  <c r="F19" i="1"/>
  <c r="U18" i="1"/>
  <c r="T18" i="1"/>
  <c r="R18" i="1"/>
  <c r="F18" i="1"/>
  <c r="U17" i="1"/>
  <c r="T17" i="1"/>
  <c r="R17" i="1"/>
  <c r="F17" i="1"/>
  <c r="U16" i="1"/>
  <c r="T16" i="1"/>
  <c r="R16" i="1"/>
  <c r="F16" i="1"/>
  <c r="U15" i="1"/>
  <c r="T15" i="1"/>
  <c r="R15" i="1"/>
  <c r="F15" i="1"/>
  <c r="U14" i="1"/>
  <c r="T14" i="1"/>
  <c r="R14" i="1"/>
  <c r="F14" i="1"/>
  <c r="G14" i="1" s="1"/>
  <c r="U13" i="1"/>
  <c r="T13" i="1"/>
  <c r="R13" i="1"/>
  <c r="F13" i="1"/>
  <c r="U12" i="1"/>
  <c r="T12" i="1"/>
  <c r="R12" i="1"/>
  <c r="I12" i="1"/>
  <c r="G12" i="1"/>
  <c r="H12" i="1" s="1"/>
  <c r="F12" i="1"/>
  <c r="U11" i="1"/>
  <c r="T11" i="1"/>
  <c r="R11" i="1"/>
  <c r="G11" i="1"/>
  <c r="H11" i="1" s="1"/>
  <c r="F11" i="1"/>
  <c r="U10" i="1"/>
  <c r="T10" i="1"/>
  <c r="R10" i="1"/>
  <c r="G10" i="1"/>
  <c r="I10" i="1" s="1"/>
  <c r="F10" i="1"/>
  <c r="H10" i="1" s="1"/>
  <c r="U9" i="1"/>
  <c r="T9" i="1"/>
  <c r="R9" i="1"/>
  <c r="F9" i="1"/>
  <c r="U8" i="1"/>
  <c r="T8" i="1"/>
  <c r="R8" i="1"/>
  <c r="I8" i="1"/>
  <c r="G8" i="1"/>
  <c r="H8" i="1" s="1"/>
  <c r="F8" i="1"/>
  <c r="U7" i="1"/>
  <c r="T7" i="1"/>
  <c r="R7" i="1"/>
  <c r="G7" i="1"/>
  <c r="H7" i="1" s="1"/>
  <c r="F7" i="1"/>
  <c r="I7" i="1" s="1"/>
  <c r="U6" i="1"/>
  <c r="T6" i="1"/>
  <c r="R6" i="1"/>
  <c r="G6" i="1"/>
  <c r="H6" i="1" s="1"/>
  <c r="F6" i="1"/>
  <c r="I6" i="1" s="1"/>
  <c r="U5" i="1"/>
  <c r="T5" i="1"/>
  <c r="R5" i="1"/>
  <c r="F5" i="1"/>
  <c r="U4" i="1"/>
  <c r="T4" i="1"/>
  <c r="R4" i="1"/>
  <c r="F4" i="1"/>
  <c r="G4" i="1" s="1"/>
  <c r="U3" i="1"/>
  <c r="F3" i="1"/>
  <c r="I47" i="1" l="1"/>
  <c r="H47" i="1"/>
  <c r="I20" i="1"/>
  <c r="H20" i="1"/>
  <c r="I41" i="1"/>
  <c r="I33" i="1"/>
  <c r="I9" i="1"/>
  <c r="H45" i="1"/>
  <c r="I49" i="1"/>
  <c r="I5" i="1"/>
  <c r="H4" i="1"/>
  <c r="I4" i="1"/>
  <c r="I18" i="1"/>
  <c r="I25" i="1"/>
  <c r="I36" i="1"/>
  <c r="H36" i="1"/>
  <c r="G34" i="1"/>
  <c r="I34" i="1" s="1"/>
  <c r="I11" i="1"/>
  <c r="G25" i="1"/>
  <c r="G18" i="1"/>
  <c r="G9" i="1"/>
  <c r="H18" i="1"/>
  <c r="I27" i="1"/>
  <c r="G41" i="1"/>
  <c r="I43" i="1"/>
  <c r="H9" i="1"/>
  <c r="G16" i="1"/>
  <c r="H16" i="1" s="1"/>
  <c r="H25" i="1"/>
  <c r="G32" i="1"/>
  <c r="H32" i="1" s="1"/>
  <c r="H41" i="1"/>
  <c r="G48" i="1"/>
  <c r="H48" i="1" s="1"/>
  <c r="G46" i="1"/>
  <c r="H46" i="1" s="1"/>
  <c r="G5" i="1"/>
  <c r="H14" i="1"/>
  <c r="G21" i="1"/>
  <c r="I21" i="1" s="1"/>
  <c r="H30" i="1"/>
  <c r="G37" i="1"/>
  <c r="I37" i="1" s="1"/>
  <c r="H5" i="1"/>
  <c r="I14" i="1"/>
  <c r="H21" i="1"/>
  <c r="I30" i="1"/>
  <c r="H37" i="1"/>
  <c r="G3" i="1"/>
  <c r="H3" i="1" s="1"/>
  <c r="G19" i="1"/>
  <c r="H19" i="1" s="1"/>
  <c r="G35" i="1"/>
  <c r="H35" i="1" s="1"/>
  <c r="H44" i="1"/>
  <c r="G17" i="1"/>
  <c r="I17" i="1" s="1"/>
  <c r="G33" i="1"/>
  <c r="H42" i="1"/>
  <c r="G49" i="1"/>
  <c r="H33" i="1"/>
  <c r="H49" i="1"/>
  <c r="G15" i="1"/>
  <c r="H15" i="1" s="1"/>
  <c r="G31" i="1"/>
  <c r="H31" i="1" s="1"/>
  <c r="G13" i="1"/>
  <c r="I13" i="1" s="1"/>
  <c r="G29" i="1"/>
  <c r="I29" i="1" s="1"/>
  <c r="H38" i="1"/>
  <c r="G45" i="1"/>
  <c r="I45" i="1" s="1"/>
  <c r="I32" i="1" l="1"/>
  <c r="H34" i="1"/>
  <c r="I15" i="1"/>
  <c r="I35" i="1"/>
  <c r="I48" i="1"/>
  <c r="I3" i="1"/>
  <c r="I46" i="1"/>
  <c r="I31" i="1"/>
  <c r="I16" i="1"/>
  <c r="I19" i="1"/>
  <c r="H17" i="1"/>
  <c r="H29" i="1"/>
  <c r="H13" i="1"/>
</calcChain>
</file>

<file path=xl/sharedStrings.xml><?xml version="1.0" encoding="utf-8"?>
<sst xmlns="http://schemas.openxmlformats.org/spreadsheetml/2006/main" count="32" uniqueCount="24">
  <si>
    <t>仿真值</t>
  </si>
  <si>
    <t>实测值</t>
  </si>
  <si>
    <t>模型预测值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</si>
  <si>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</si>
  <si>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</si>
  <si>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</si>
  <si>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</si>
  <si>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</si>
  <si>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</si>
  <si>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</si>
  <si>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</si>
  <si>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</si>
  <si>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</si>
  <si>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</si>
  <si>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</si>
  <si>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</si>
  <si>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</si>
  <si>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</si>
  <si>
    <t>电感相对误差%</t>
  </si>
  <si>
    <t>电阻相对误差%</t>
  </si>
  <si>
    <t>仿真值与实测值的相对误差</t>
    <phoneticPr fontId="1" type="noConversion"/>
  </si>
  <si>
    <t>模型预测值与实测值的相对误差</t>
    <phoneticPr fontId="1" type="noConversion"/>
  </si>
  <si>
    <t>电感平均相对误差%</t>
    <phoneticPr fontId="1" type="noConversion"/>
  </si>
  <si>
    <t>电阻平均相对误差%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</si>
</sst>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176" fontId="0" fillId="0" borderId="0" xfId="0" applyNumberFormat="1">
      <alignment vertical="center"/>
    </xf>
  </cellXfs>
  <cellStyles count="1">
    <cellStyle name="常规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1"/>
  <sheetViews>
    <sheetView tabSelected="1" topLeftCell="J1" zoomScaleNormal="100" workbookViewId="0">
      <selection activeCell="AA58" sqref="AA58"/>
    </sheetView>
  </sheetViews>
  <sheetFormatPr defaultColWidth="8.625" defaultRowHeight="14.25" x14ac:dyDescent="0.2"/>
  <cols>
    <col min="20" max="20" width="17.875" style="1" customWidth="1"/>
    <col min="21" max="21" width="18" style="1" customWidth="1"/>
    <col min="23" max="23" width="10.625" style="1" customWidth="1"/>
    <col min="27" max="27" width="16.375" customWidth="1"/>
    <col min="28" max="28" width="17" customWidth="1"/>
  </cols>
  <sheetData>
    <row r="1" spans="1:28" x14ac:dyDescent="0.2">
      <c r="A1" t="s">
        <v>0</v>
      </c>
      <c r="P1" t="s">
        <v>1</v>
      </c>
      <c r="T1" t="s">
        <v>20</v>
      </c>
      <c r="W1" t="s">
        <v>2</v>
      </c>
      <c r="AA1" t="s">
        <v>21</v>
      </c>
    </row>
    <row r="2" spans="1:28" x14ac:dyDescent="0.2">
      <c r="A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H2" t="s">
        <v>10</v>
      </c>
      <c r="I2" t="s">
        <v>11</v>
      </c>
      <c r="J2" t="s">
        <v>12</v>
      </c>
      <c r="L2" t="s">
        <v>13</v>
      </c>
      <c r="M2" t="s">
        <v>14</v>
      </c>
      <c r="N2" t="s">
        <v>15</v>
      </c>
      <c r="P2" t="s">
        <v>16</v>
      </c>
      <c r="Q2" t="s">
        <v>17</v>
      </c>
      <c r="R2" t="s">
        <v>15</v>
      </c>
      <c r="T2" t="s">
        <v>18</v>
      </c>
      <c r="U2" t="s">
        <v>19</v>
      </c>
      <c r="W2" t="s">
        <v>16</v>
      </c>
      <c r="X2" t="s">
        <v>17</v>
      </c>
      <c r="Y2" t="s">
        <v>15</v>
      </c>
      <c r="AA2" t="s">
        <v>18</v>
      </c>
      <c r="AB2" t="s">
        <v>19</v>
      </c>
    </row>
    <row r="3" spans="1:28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1.8336879E-2</v>
      </c>
      <c r="M3">
        <v>8.8597703E-2</v>
      </c>
      <c r="N3">
        <v>8.8168313170000001</v>
      </c>
      <c r="P3">
        <v>0.17976</v>
      </c>
      <c r="Q3">
        <v>8.6578000000000002E-2</v>
      </c>
      <c r="R3">
        <f>6780000*2*3.1415926*P3*0.000001/Q3</f>
        <v>88.449435412259007</v>
      </c>
      <c r="T3" s="2">
        <f>ABS(L3-P3)/P3*100</f>
        <v>89.799243991989314</v>
      </c>
      <c r="U3" s="2">
        <f t="shared" ref="U3:U49" si="4">ABS(M3-Q3)/Q3*100</f>
        <v>2.3328131857977752</v>
      </c>
      <c r="W3">
        <v>0.24802376329898829</v>
      </c>
      <c r="X3">
        <v>0.1059732288122177</v>
      </c>
      <c r="Y3">
        <f>6780000*2*3.1415926*W3*0.000001/X3</f>
        <v>99.702645258115766</v>
      </c>
      <c r="AA3" s="2">
        <f>ABS(W3-P3)/P3*100</f>
        <v>37.974946205489701</v>
      </c>
      <c r="AB3" s="2">
        <f>ABS(X3-Q3)/Q3*100</f>
        <v>22.402029167014366</v>
      </c>
    </row>
    <row r="4" spans="1:28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1.8447351000000001E-2</v>
      </c>
      <c r="M4">
        <v>0.14243311</v>
      </c>
      <c r="N4">
        <v>5.5173764810000003</v>
      </c>
      <c r="P4">
        <v>0.21931999999999999</v>
      </c>
      <c r="Q4">
        <v>0.13755999999999999</v>
      </c>
      <c r="R4">
        <f t="shared" ref="R3:R49" si="5">6780000*2*3.1415926*P4*0.000001/Q4</f>
        <v>67.919679029324811</v>
      </c>
      <c r="T4" s="2">
        <f t="shared" ref="T3:T49" si="6">ABS(L4-P4)/P4*100</f>
        <v>91.588842330840777</v>
      </c>
      <c r="U4" s="2">
        <f t="shared" si="4"/>
        <v>3.5425341669089958</v>
      </c>
      <c r="W4">
        <v>0.24802376329898829</v>
      </c>
      <c r="X4">
        <v>0.1059732288122177</v>
      </c>
      <c r="Y4">
        <f t="shared" ref="Y4:Y49" si="7">6780000*2*3.1415926*W4*0.000001/X4</f>
        <v>99.702645258115766</v>
      </c>
      <c r="AA4" s="2">
        <f t="shared" ref="AA4:AA49" si="8">ABS(W4-P4)/P4*100</f>
        <v>13.087617772655619</v>
      </c>
      <c r="AB4" s="2">
        <f t="shared" ref="AB4:AB49" si="9">ABS(X4-Q4)/Q4*100</f>
        <v>22.96217736826279</v>
      </c>
    </row>
    <row r="5" spans="1:28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5"/>
        <v>81.995395457907264</v>
      </c>
      <c r="T5" s="2">
        <f t="shared" si="6"/>
        <v>12.55538395464696</v>
      </c>
      <c r="U5" s="2">
        <f t="shared" si="4"/>
        <v>15.898569066710754</v>
      </c>
      <c r="W5">
        <v>0.24802376329898829</v>
      </c>
      <c r="X5">
        <v>0.1059732288122177</v>
      </c>
      <c r="Y5">
        <f t="shared" si="7"/>
        <v>99.702645258115766</v>
      </c>
      <c r="AA5" s="2">
        <f t="shared" si="8"/>
        <v>6.5211146276362726</v>
      </c>
      <c r="AB5" s="2">
        <f t="shared" si="9"/>
        <v>12.397099436043892</v>
      </c>
    </row>
    <row r="6" spans="1:28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5"/>
        <v>106.26082868762136</v>
      </c>
      <c r="T6" s="2">
        <f t="shared" si="6"/>
        <v>10.34079191787518</v>
      </c>
      <c r="U6" s="2">
        <f t="shared" si="4"/>
        <v>16.74820196518753</v>
      </c>
      <c r="W6">
        <v>0.24802376329898829</v>
      </c>
      <c r="X6">
        <v>0.1059732288122177</v>
      </c>
      <c r="Y6">
        <f t="shared" si="7"/>
        <v>99.702645258115766</v>
      </c>
      <c r="AA6" s="2">
        <f t="shared" si="8"/>
        <v>1.0362405487161002</v>
      </c>
      <c r="AB6" s="2">
        <f t="shared" si="9"/>
        <v>7.6821444445527503</v>
      </c>
    </row>
    <row r="7" spans="1:28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5"/>
        <v>82.09108586752015</v>
      </c>
      <c r="T7" s="2">
        <f t="shared" si="6"/>
        <v>7.4506165113799661</v>
      </c>
      <c r="U7" s="2">
        <f t="shared" si="4"/>
        <v>15.196523447967838</v>
      </c>
      <c r="W7">
        <v>0.41671633720397949</v>
      </c>
      <c r="X7">
        <v>0.19645699858665469</v>
      </c>
      <c r="Y7">
        <f t="shared" si="7"/>
        <v>90.361322235326355</v>
      </c>
      <c r="AA7" s="2">
        <f t="shared" si="8"/>
        <v>3.4171563519261388</v>
      </c>
      <c r="AB7" s="2">
        <f t="shared" si="9"/>
        <v>12.256811707612906</v>
      </c>
    </row>
    <row r="8" spans="1:28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5"/>
        <v>126.57336980166569</v>
      </c>
      <c r="T8" s="2">
        <f t="shared" si="6"/>
        <v>6.6397479333587723</v>
      </c>
      <c r="U8" s="2">
        <f t="shared" si="4"/>
        <v>9.246349758162026</v>
      </c>
      <c r="W8">
        <v>0.36220347881317139</v>
      </c>
      <c r="X8">
        <v>0.14358809590339661</v>
      </c>
      <c r="Y8">
        <f t="shared" si="7"/>
        <v>107.45923279329587</v>
      </c>
      <c r="AA8" s="2">
        <f t="shared" si="8"/>
        <v>7.8714285099398733</v>
      </c>
      <c r="AB8" s="2">
        <f t="shared" si="9"/>
        <v>8.5157919463396414</v>
      </c>
    </row>
    <row r="9" spans="1:28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5"/>
        <v>136.99878560125703</v>
      </c>
      <c r="T9" s="2">
        <f t="shared" si="6"/>
        <v>6.3261210478370122</v>
      </c>
      <c r="U9" s="2">
        <f t="shared" si="4"/>
        <v>9.6468174347981375</v>
      </c>
      <c r="W9">
        <v>0.41758072376251221</v>
      </c>
      <c r="X9">
        <v>0.161831334233284</v>
      </c>
      <c r="Y9">
        <f t="shared" si="7"/>
        <v>109.92269885552047</v>
      </c>
      <c r="AA9" s="2">
        <f t="shared" si="8"/>
        <v>7.2187162524691306</v>
      </c>
      <c r="AB9" s="2">
        <f t="shared" si="9"/>
        <v>15.635108419638447</v>
      </c>
    </row>
    <row r="10" spans="1:28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5"/>
        <v>106.23927183097523</v>
      </c>
      <c r="T10" s="2">
        <f t="shared" si="6"/>
        <v>6.5910470646425496</v>
      </c>
      <c r="U10" s="2">
        <f t="shared" si="4"/>
        <v>3.208589999051136</v>
      </c>
      <c r="W10">
        <v>0.50073379278182983</v>
      </c>
      <c r="X10">
        <v>0.223117470741272</v>
      </c>
      <c r="Y10">
        <f t="shared" si="7"/>
        <v>95.605500216763275</v>
      </c>
      <c r="AA10" s="2">
        <f t="shared" si="8"/>
        <v>4.7418877636057868</v>
      </c>
      <c r="AB10" s="2">
        <f t="shared" si="9"/>
        <v>5.8532454413473785</v>
      </c>
    </row>
    <row r="11" spans="1:28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5"/>
        <v>87.101060954697189</v>
      </c>
      <c r="T11" s="2">
        <f t="shared" si="6"/>
        <v>27.101478404108427</v>
      </c>
      <c r="U11" s="2">
        <f t="shared" si="4"/>
        <v>78.44825359088658</v>
      </c>
      <c r="W11">
        <v>0.37718489766120911</v>
      </c>
      <c r="X11">
        <v>0.19031944870948789</v>
      </c>
      <c r="Y11">
        <f t="shared" si="7"/>
        <v>84.426868146320345</v>
      </c>
      <c r="AA11" s="2">
        <f t="shared" si="8"/>
        <v>8.6299029429497605</v>
      </c>
      <c r="AB11" s="2">
        <f t="shared" si="9"/>
        <v>5.7357856812838577</v>
      </c>
    </row>
    <row r="12" spans="1:28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5"/>
        <v>106.34825883698332</v>
      </c>
      <c r="T12" s="2">
        <f t="shared" si="6"/>
        <v>8.2197520250368168</v>
      </c>
      <c r="U12" s="2">
        <f t="shared" si="4"/>
        <v>4.0801746403786927</v>
      </c>
      <c r="W12">
        <v>0.49952495098114008</v>
      </c>
      <c r="X12">
        <v>0.19827504456043241</v>
      </c>
      <c r="Y12">
        <f t="shared" si="7"/>
        <v>107.32445320608315</v>
      </c>
      <c r="AA12" s="2">
        <f t="shared" si="8"/>
        <v>8.0403256662113272</v>
      </c>
      <c r="AB12" s="2">
        <f t="shared" si="9"/>
        <v>8.8767661379510088</v>
      </c>
    </row>
    <row r="13" spans="1:28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5"/>
        <v>111.11416589715785</v>
      </c>
      <c r="T13" s="2">
        <f t="shared" si="6"/>
        <v>24.696333988732178</v>
      </c>
      <c r="U13" s="2">
        <f t="shared" si="4"/>
        <v>84.008394398145867</v>
      </c>
      <c r="W13">
        <v>0.48427665233612061</v>
      </c>
      <c r="X13">
        <v>0.18546584248542791</v>
      </c>
      <c r="Y13">
        <f t="shared" si="7"/>
        <v>111.23440850000117</v>
      </c>
      <c r="AA13" s="2">
        <f t="shared" si="8"/>
        <v>8.4439345982303031</v>
      </c>
      <c r="AB13" s="2">
        <f t="shared" si="9"/>
        <v>8.5429052293367942</v>
      </c>
    </row>
    <row r="14" spans="1:28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5"/>
        <v>124.72617713017445</v>
      </c>
      <c r="T14" s="2">
        <f t="shared" si="6"/>
        <v>6.0041675967596806</v>
      </c>
      <c r="U14" s="2">
        <f t="shared" si="4"/>
        <v>11.413465450903926</v>
      </c>
      <c r="W14">
        <v>0.52081942558288574</v>
      </c>
      <c r="X14">
        <v>0.17022643983364111</v>
      </c>
      <c r="Y14">
        <f t="shared" si="7"/>
        <v>130.33759790238324</v>
      </c>
      <c r="AA14" s="2">
        <f t="shared" si="8"/>
        <v>6.2431277078513503</v>
      </c>
      <c r="AB14" s="2">
        <f t="shared" si="9"/>
        <v>10.279639575374954</v>
      </c>
    </row>
    <row r="15" spans="1:28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5"/>
        <v>134.00409276942264</v>
      </c>
      <c r="T15" s="2">
        <f t="shared" si="6"/>
        <v>5.9301236894988509</v>
      </c>
      <c r="U15" s="2">
        <f t="shared" si="4"/>
        <v>11.259286029303674</v>
      </c>
      <c r="W15">
        <v>0.59926104545593262</v>
      </c>
      <c r="X15">
        <v>0.1831464767456055</v>
      </c>
      <c r="Y15">
        <f t="shared" si="7"/>
        <v>139.38852871678458</v>
      </c>
      <c r="AA15" s="2">
        <f t="shared" si="8"/>
        <v>6.6469793504069576</v>
      </c>
      <c r="AB15" s="2">
        <f t="shared" si="9"/>
        <v>10.253110821970161</v>
      </c>
    </row>
    <row r="16" spans="1:28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5"/>
        <v>145.98553133207395</v>
      </c>
      <c r="T16" s="2">
        <f t="shared" si="6"/>
        <v>5.0966208925944017</v>
      </c>
      <c r="U16" s="2">
        <f t="shared" si="4"/>
        <v>7.6703476337903513</v>
      </c>
      <c r="W16">
        <v>0.74201816320419312</v>
      </c>
      <c r="X16">
        <v>0.22569672763347631</v>
      </c>
      <c r="Y16">
        <f t="shared" si="7"/>
        <v>140.0550679693736</v>
      </c>
      <c r="AA16" s="2">
        <f t="shared" si="8"/>
        <v>4.2334783299097651</v>
      </c>
      <c r="AB16" s="2">
        <f t="shared" si="9"/>
        <v>0.17836017979817895</v>
      </c>
    </row>
    <row r="17" spans="1:28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5"/>
        <v>150.44431949239907</v>
      </c>
      <c r="T17" s="2">
        <f t="shared" si="6"/>
        <v>4.9989251598038535</v>
      </c>
      <c r="U17" s="2">
        <f t="shared" si="4"/>
        <v>5.7436367236723651</v>
      </c>
      <c r="W17">
        <v>0.92956423759460449</v>
      </c>
      <c r="X17">
        <v>0.27559500932693481</v>
      </c>
      <c r="Y17">
        <f t="shared" si="7"/>
        <v>143.68704491497815</v>
      </c>
      <c r="AA17" s="2">
        <f t="shared" si="8"/>
        <v>5.2325706659661675</v>
      </c>
      <c r="AB17" s="2">
        <f t="shared" si="9"/>
        <v>0.77587422972643827</v>
      </c>
    </row>
    <row r="18" spans="1:28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5"/>
        <v>194.56703501335093</v>
      </c>
      <c r="T18" s="2">
        <f t="shared" si="6"/>
        <v>4.2099149472925648</v>
      </c>
      <c r="U18" s="2">
        <f t="shared" si="4"/>
        <v>8.0360302045183314</v>
      </c>
      <c r="W18">
        <v>1.06830894947052</v>
      </c>
      <c r="X18">
        <v>0.27330285310745239</v>
      </c>
      <c r="Y18">
        <f t="shared" si="7"/>
        <v>166.51841021512232</v>
      </c>
      <c r="AA18" s="2">
        <f t="shared" si="8"/>
        <v>3.7472790818524269</v>
      </c>
      <c r="AB18" s="2">
        <f t="shared" si="9"/>
        <v>12.465681703408251</v>
      </c>
    </row>
    <row r="19" spans="1:28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5"/>
        <v>104.00971088235249</v>
      </c>
      <c r="T19" s="2">
        <f t="shared" si="6"/>
        <v>4.7647188388772062</v>
      </c>
      <c r="U19" s="2">
        <f t="shared" si="4"/>
        <v>15.066874103705938</v>
      </c>
      <c r="W19">
        <v>0.82163166999816895</v>
      </c>
      <c r="X19">
        <v>0.534984290599823</v>
      </c>
      <c r="Y19">
        <f t="shared" si="7"/>
        <v>65.425296009178936</v>
      </c>
      <c r="AA19" s="2">
        <f t="shared" si="8"/>
        <v>26.998836094684208</v>
      </c>
      <c r="AB19" s="2">
        <f t="shared" si="9"/>
        <v>101.89610181893842</v>
      </c>
    </row>
    <row r="20" spans="1:28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5"/>
        <v>109.36374157525063</v>
      </c>
      <c r="T20" s="2">
        <f t="shared" si="6"/>
        <v>5.1597752554344796</v>
      </c>
      <c r="U20" s="2">
        <f t="shared" si="4"/>
        <v>17.883843878787879</v>
      </c>
      <c r="W20">
        <v>0.65782558917999268</v>
      </c>
      <c r="X20">
        <v>0.45139503479003912</v>
      </c>
      <c r="Y20">
        <f t="shared" si="7"/>
        <v>62.08169138260029</v>
      </c>
      <c r="AA20" s="2">
        <f t="shared" si="8"/>
        <v>24.23758506864958</v>
      </c>
      <c r="AB20" s="2">
        <f t="shared" si="9"/>
        <v>118.85819868607959</v>
      </c>
    </row>
    <row r="21" spans="1:28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5"/>
        <v>104.2199582569137</v>
      </c>
      <c r="T21" s="2">
        <f t="shared" si="6"/>
        <v>4.24115539040874</v>
      </c>
      <c r="U21" s="2">
        <f t="shared" si="4"/>
        <v>5.9708498825539227</v>
      </c>
      <c r="W21">
        <v>0.86089038848876953</v>
      </c>
      <c r="X21">
        <v>0.47330862283706671</v>
      </c>
      <c r="Y21">
        <f t="shared" si="7"/>
        <v>77.484172145620278</v>
      </c>
      <c r="AA21" s="2">
        <f t="shared" si="8"/>
        <v>7.3456181561596932</v>
      </c>
      <c r="AB21" s="2">
        <f t="shared" si="9"/>
        <v>44.385047081256431</v>
      </c>
    </row>
    <row r="22" spans="1:28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5"/>
        <v>130.96725692891812</v>
      </c>
      <c r="T22" s="2">
        <f t="shared" si="6"/>
        <v>3.6510369585172833</v>
      </c>
      <c r="U22" s="2">
        <f t="shared" si="4"/>
        <v>27.738585587098928</v>
      </c>
      <c r="W22">
        <v>0.87030810117721558</v>
      </c>
      <c r="X22">
        <v>0.39379972219467158</v>
      </c>
      <c r="Y22">
        <f t="shared" si="7"/>
        <v>94.147149527960337</v>
      </c>
      <c r="AA22" s="2">
        <f t="shared" si="8"/>
        <v>4.8926759215352131</v>
      </c>
      <c r="AB22" s="2">
        <f t="shared" si="9"/>
        <v>32.302947150905943</v>
      </c>
    </row>
    <row r="23" spans="1:28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5"/>
        <v>126.30219274150836</v>
      </c>
      <c r="T23" s="2">
        <f t="shared" si="6"/>
        <v>3.7662477752224741</v>
      </c>
      <c r="U23" s="2">
        <f t="shared" si="4"/>
        <v>18.874153622672829</v>
      </c>
      <c r="W23">
        <v>0.93598878383636475</v>
      </c>
      <c r="X23">
        <v>0.42837667465209961</v>
      </c>
      <c r="Y23">
        <f t="shared" si="7"/>
        <v>93.079573386847642</v>
      </c>
      <c r="AA23" s="2">
        <f t="shared" si="8"/>
        <v>6.4104805683066939</v>
      </c>
      <c r="AB23" s="2">
        <f t="shared" si="9"/>
        <v>26.994152333718606</v>
      </c>
    </row>
    <row r="24" spans="1:28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5"/>
        <v>117.97405195907693</v>
      </c>
      <c r="T24" s="2">
        <f t="shared" si="6"/>
        <v>3.8700182309803726</v>
      </c>
      <c r="U24" s="2">
        <f t="shared" si="4"/>
        <v>18.622274506466983</v>
      </c>
      <c r="W24">
        <v>0.93247711658477783</v>
      </c>
      <c r="X24">
        <v>0.434345543384552</v>
      </c>
      <c r="Y24">
        <f t="shared" si="7"/>
        <v>91.456034765070314</v>
      </c>
      <c r="AA24" s="2">
        <f t="shared" si="8"/>
        <v>4.4945392493775014</v>
      </c>
      <c r="AB24" s="2">
        <f t="shared" si="9"/>
        <v>23.197624059607449</v>
      </c>
    </row>
    <row r="25" spans="1:28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5"/>
        <v>130.83566673849759</v>
      </c>
      <c r="T25" s="2">
        <f t="shared" si="6"/>
        <v>3.333571561554558</v>
      </c>
      <c r="U25" s="2">
        <f t="shared" si="4"/>
        <v>3.8276534915302731</v>
      </c>
      <c r="W25">
        <v>1.233023405075073</v>
      </c>
      <c r="X25">
        <v>0.42327266931533808</v>
      </c>
      <c r="Y25">
        <f t="shared" si="7"/>
        <v>124.09681868878708</v>
      </c>
      <c r="AA25" s="2">
        <f t="shared" si="8"/>
        <v>4.3500577864344807</v>
      </c>
      <c r="AB25" s="2">
        <f t="shared" si="9"/>
        <v>0.84403528824198593</v>
      </c>
    </row>
    <row r="26" spans="1:28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5"/>
        <v>107.35538368975843</v>
      </c>
      <c r="T26" s="2">
        <f t="shared" si="6"/>
        <v>5.5670046427003035</v>
      </c>
      <c r="U26" s="2">
        <f t="shared" si="4"/>
        <v>51.846682582848466</v>
      </c>
      <c r="W26">
        <v>1.5034652948379521</v>
      </c>
      <c r="X26">
        <v>0.89343369007110596</v>
      </c>
      <c r="Y26">
        <f t="shared" si="7"/>
        <v>71.687038154948183</v>
      </c>
      <c r="AA26" s="2">
        <f t="shared" si="8"/>
        <v>5.6738004367932735</v>
      </c>
      <c r="AB26" s="2">
        <f t="shared" si="9"/>
        <v>41.258805032745052</v>
      </c>
    </row>
    <row r="27" spans="1:28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5"/>
        <v>97.429935119835179</v>
      </c>
      <c r="T27" s="2">
        <f t="shared" si="6"/>
        <v>4.7754027436527533</v>
      </c>
      <c r="U27" s="2">
        <f t="shared" si="4"/>
        <v>10.576503028221776</v>
      </c>
      <c r="W27">
        <v>1.3647022247314451</v>
      </c>
      <c r="X27">
        <v>0.72680848836898804</v>
      </c>
      <c r="Y27">
        <f t="shared" si="7"/>
        <v>79.988483590436971</v>
      </c>
      <c r="AA27" s="2">
        <f t="shared" si="8"/>
        <v>6.8589800210588967</v>
      </c>
      <c r="AB27" s="2">
        <f t="shared" si="9"/>
        <v>13.450375931722661</v>
      </c>
    </row>
    <row r="28" spans="1:28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5"/>
        <v>124.57159008466202</v>
      </c>
      <c r="T28" s="2">
        <f t="shared" si="6"/>
        <v>4.1292825652155356</v>
      </c>
      <c r="U28" s="2">
        <f t="shared" si="4"/>
        <v>9.3694273270283777</v>
      </c>
      <c r="W28">
        <v>2.2716133594512939</v>
      </c>
      <c r="X28">
        <v>0.85571670532226563</v>
      </c>
      <c r="Y28">
        <f t="shared" si="7"/>
        <v>113.08733210752563</v>
      </c>
      <c r="AA28" s="2">
        <f t="shared" si="8"/>
        <v>3.3314881717820306</v>
      </c>
      <c r="AB28" s="2">
        <f t="shared" si="9"/>
        <v>6.485403847967353</v>
      </c>
    </row>
    <row r="29" spans="1:28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5"/>
        <v>161.12589949719245</v>
      </c>
      <c r="T29" s="2">
        <f t="shared" si="6"/>
        <v>4.1711175630894726</v>
      </c>
      <c r="U29" s="2">
        <f t="shared" si="4"/>
        <v>11.894673351330512</v>
      </c>
      <c r="W29">
        <v>1.905919194221497</v>
      </c>
      <c r="X29">
        <v>0.58219581842422485</v>
      </c>
      <c r="Y29">
        <f t="shared" si="7"/>
        <v>139.45848943793177</v>
      </c>
      <c r="AA29" s="2">
        <f t="shared" si="8"/>
        <v>2.8335868355086924</v>
      </c>
      <c r="AB29" s="2">
        <f t="shared" si="9"/>
        <v>12.2629807991178</v>
      </c>
    </row>
    <row r="30" spans="1:28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5"/>
        <v>141.60345063636763</v>
      </c>
      <c r="T30" s="2">
        <f t="shared" si="6"/>
        <v>4.108458406320378</v>
      </c>
      <c r="U30" s="2">
        <f t="shared" si="4"/>
        <v>9.4979361646505289</v>
      </c>
      <c r="W30">
        <v>2.7258999347686772</v>
      </c>
      <c r="X30">
        <v>0.93374359607696533</v>
      </c>
      <c r="Y30">
        <f t="shared" si="7"/>
        <v>124.36318264212724</v>
      </c>
      <c r="AA30" s="2">
        <f t="shared" si="8"/>
        <v>2.5524636339085083</v>
      </c>
      <c r="AB30" s="2">
        <f t="shared" si="9"/>
        <v>10.956531605980153</v>
      </c>
    </row>
    <row r="31" spans="1:28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5"/>
        <v>84.076232483520172</v>
      </c>
      <c r="T31" s="2">
        <f t="shared" si="6"/>
        <v>4.1427571444456763</v>
      </c>
      <c r="U31" s="2">
        <f t="shared" si="4"/>
        <v>1.0708962384233855</v>
      </c>
      <c r="W31">
        <v>4.4331645965576172</v>
      </c>
      <c r="X31">
        <v>2.3870658874511719</v>
      </c>
      <c r="Y31">
        <f t="shared" si="7"/>
        <v>79.115031364860272</v>
      </c>
      <c r="AA31" s="2">
        <f t="shared" si="8"/>
        <v>1.4085489479013227</v>
      </c>
      <c r="AB31" s="2">
        <f t="shared" si="9"/>
        <v>4.7739932164847323</v>
      </c>
    </row>
    <row r="32" spans="1:28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5"/>
        <v>148.38157874051376</v>
      </c>
      <c r="T32" s="2">
        <f t="shared" si="6"/>
        <v>4.0636118141049433</v>
      </c>
      <c r="U32" s="2">
        <f t="shared" si="4"/>
        <v>12.452502537060967</v>
      </c>
      <c r="W32">
        <v>3.420789480209351</v>
      </c>
      <c r="X32">
        <v>1.1621384620666499</v>
      </c>
      <c r="Y32">
        <f t="shared" si="7"/>
        <v>125.39436715472146</v>
      </c>
      <c r="AA32" s="2">
        <f t="shared" si="8"/>
        <v>2.2882835782412831</v>
      </c>
      <c r="AB32" s="2">
        <f t="shared" si="9"/>
        <v>15.624162975489982</v>
      </c>
    </row>
    <row r="33" spans="1:28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5"/>
        <v>135.64147033128543</v>
      </c>
      <c r="T33" s="2">
        <f t="shared" si="6"/>
        <v>64.403865791268757</v>
      </c>
      <c r="U33" s="2">
        <f t="shared" si="4"/>
        <v>61.302675656108597</v>
      </c>
      <c r="W33">
        <v>2.9876964092254639</v>
      </c>
      <c r="X33">
        <v>1.2134145498275759</v>
      </c>
      <c r="Y33">
        <f t="shared" si="7"/>
        <v>104.89066088134285</v>
      </c>
      <c r="AA33" s="2">
        <f t="shared" si="8"/>
        <v>15.083662766443165</v>
      </c>
      <c r="AB33" s="2">
        <f t="shared" si="9"/>
        <v>9.8112714776086811</v>
      </c>
    </row>
    <row r="34" spans="1:28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5"/>
        <v>91.084828507187908</v>
      </c>
      <c r="T34" s="2">
        <f t="shared" si="6"/>
        <v>4.6146258694841285</v>
      </c>
      <c r="U34" s="2">
        <f t="shared" si="4"/>
        <v>5.8941098486752752</v>
      </c>
      <c r="W34">
        <v>3.2423274517059331</v>
      </c>
      <c r="X34">
        <v>1.5256942510604861</v>
      </c>
      <c r="Y34">
        <f t="shared" si="7"/>
        <v>90.531333694149453</v>
      </c>
      <c r="AA34" s="2">
        <f t="shared" si="8"/>
        <v>4.477286871934326</v>
      </c>
      <c r="AB34" s="2">
        <f t="shared" si="9"/>
        <v>3.8932755237489043</v>
      </c>
    </row>
    <row r="35" spans="1:28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5"/>
        <v>94.4561902306083</v>
      </c>
      <c r="T35" s="2">
        <f t="shared" si="6"/>
        <v>4.1841537820301911</v>
      </c>
      <c r="U35" s="2">
        <f t="shared" si="4"/>
        <v>12.540884875474065</v>
      </c>
      <c r="W35">
        <v>2.8235125541687012</v>
      </c>
      <c r="X35">
        <v>1.3617533445358281</v>
      </c>
      <c r="Y35">
        <f t="shared" si="7"/>
        <v>88.328494308378396</v>
      </c>
      <c r="AA35" s="2">
        <f t="shared" si="8"/>
        <v>2.7113033502618338</v>
      </c>
      <c r="AB35" s="2">
        <f t="shared" si="9"/>
        <v>4.0379971377361237</v>
      </c>
    </row>
    <row r="36" spans="1:28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5"/>
        <v>98.027871854575253</v>
      </c>
      <c r="T36" s="2">
        <f t="shared" si="6"/>
        <v>4.111652548969329</v>
      </c>
      <c r="U36" s="2">
        <f t="shared" si="4"/>
        <v>29.215118735809014</v>
      </c>
      <c r="W36">
        <v>2.5846948623657231</v>
      </c>
      <c r="X36">
        <v>1.2065292596817021</v>
      </c>
      <c r="Y36">
        <f t="shared" si="7"/>
        <v>91.260107473823908</v>
      </c>
      <c r="AA36" s="2">
        <f t="shared" si="8"/>
        <v>2.1319628032668274</v>
      </c>
      <c r="AB36" s="2">
        <f t="shared" si="9"/>
        <v>5.1258394773636109</v>
      </c>
    </row>
    <row r="37" spans="1:28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5"/>
        <v>75.980708729842561</v>
      </c>
      <c r="T37" s="2">
        <f t="shared" si="6"/>
        <v>5.3921708259311494</v>
      </c>
      <c r="U37" s="2">
        <f t="shared" si="4"/>
        <v>3.2215962646755849</v>
      </c>
      <c r="W37">
        <v>5.4683775901794434</v>
      </c>
      <c r="X37">
        <v>3.3716309070587158</v>
      </c>
      <c r="Y37">
        <f t="shared" si="7"/>
        <v>69.092041213440936</v>
      </c>
      <c r="AA37" s="2">
        <f t="shared" si="8"/>
        <v>3.991123300394281</v>
      </c>
      <c r="AB37" s="2">
        <f t="shared" si="9"/>
        <v>5.581227126533344</v>
      </c>
    </row>
    <row r="38" spans="1:28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5"/>
        <v>149.61301959775122</v>
      </c>
      <c r="T38" s="2">
        <f t="shared" si="6"/>
        <v>4.1069042972819183</v>
      </c>
      <c r="U38" s="2">
        <f t="shared" si="4"/>
        <v>8.2463538883684944</v>
      </c>
      <c r="W38">
        <v>3.000944852828979</v>
      </c>
      <c r="X38">
        <v>0.92463088035583496</v>
      </c>
      <c r="Y38">
        <f t="shared" si="7"/>
        <v>138.26083511856322</v>
      </c>
      <c r="AA38" s="2">
        <f t="shared" si="8"/>
        <v>3.1484636814917213</v>
      </c>
      <c r="AB38" s="2">
        <f t="shared" si="9"/>
        <v>4.8037268751300637</v>
      </c>
    </row>
    <row r="39" spans="1:28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5"/>
        <v>87.829154013435073</v>
      </c>
      <c r="T39" s="2">
        <f t="shared" si="6"/>
        <v>5.5950694182904614</v>
      </c>
      <c r="U39" s="2">
        <f t="shared" si="4"/>
        <v>4.375201898579979</v>
      </c>
      <c r="W39">
        <v>5.9895124435424796</v>
      </c>
      <c r="X39">
        <v>3.2302482128143311</v>
      </c>
      <c r="Y39">
        <f t="shared" si="7"/>
        <v>78.98873004999426</v>
      </c>
      <c r="AA39" s="2">
        <f t="shared" si="8"/>
        <v>4.5283020348367842</v>
      </c>
      <c r="AB39" s="2">
        <f t="shared" si="9"/>
        <v>6.1568968028634234</v>
      </c>
    </row>
    <row r="40" spans="1:28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5"/>
        <v>68.543898627471719</v>
      </c>
      <c r="T40" s="2">
        <f t="shared" si="6"/>
        <v>3.0521090890563718</v>
      </c>
      <c r="U40" s="2">
        <f t="shared" si="4"/>
        <v>0.1765696303101032</v>
      </c>
      <c r="W40">
        <v>6.8145885467529297</v>
      </c>
      <c r="X40">
        <v>4.4260158538818359</v>
      </c>
      <c r="Y40">
        <f t="shared" si="7"/>
        <v>65.589788214267998</v>
      </c>
      <c r="AA40" s="2">
        <f t="shared" si="8"/>
        <v>0.33553029760784187</v>
      </c>
      <c r="AB40" s="2">
        <f t="shared" si="9"/>
        <v>4.8545605146013147</v>
      </c>
    </row>
    <row r="41" spans="1:28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5"/>
        <v>110.78777520519267</v>
      </c>
      <c r="T41" s="2">
        <f t="shared" si="6"/>
        <v>3.8151692737918483</v>
      </c>
      <c r="U41" s="2">
        <f t="shared" si="4"/>
        <v>14.367041283621774</v>
      </c>
      <c r="W41">
        <v>2.4934344291687012</v>
      </c>
      <c r="X41">
        <v>1.001788854598999</v>
      </c>
      <c r="Y41">
        <f t="shared" si="7"/>
        <v>106.03062248444149</v>
      </c>
      <c r="AA41" s="2">
        <f t="shared" si="8"/>
        <v>8.9502066402473552</v>
      </c>
      <c r="AB41" s="2">
        <f t="shared" si="9"/>
        <v>13.838348950466367</v>
      </c>
    </row>
    <row r="42" spans="1:28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5"/>
        <v>120.39173601764369</v>
      </c>
      <c r="T42" s="2">
        <f t="shared" si="6"/>
        <v>4.064183722833314</v>
      </c>
      <c r="U42" s="2">
        <f t="shared" si="4"/>
        <v>1.231517598654859</v>
      </c>
      <c r="W42">
        <v>1.699249148368835</v>
      </c>
      <c r="X42">
        <v>0.6909172534942627</v>
      </c>
      <c r="Y42">
        <f t="shared" si="7"/>
        <v>104.77087664677224</v>
      </c>
      <c r="AA42" s="2">
        <f t="shared" si="8"/>
        <v>3.9212287476628376</v>
      </c>
      <c r="AB42" s="2">
        <f t="shared" si="9"/>
        <v>10.403677393180473</v>
      </c>
    </row>
    <row r="43" spans="1:28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5"/>
        <v>119.87425316438599</v>
      </c>
      <c r="T43" s="2">
        <f t="shared" si="6"/>
        <v>4.3835484569684775</v>
      </c>
      <c r="U43" s="2">
        <f t="shared" si="4"/>
        <v>2.0707287233986746</v>
      </c>
      <c r="W43">
        <v>2.0686521530151372</v>
      </c>
      <c r="X43">
        <v>0.83330833911895752</v>
      </c>
      <c r="Y43">
        <f t="shared" si="7"/>
        <v>105.75265912422343</v>
      </c>
      <c r="AA43" s="2">
        <f t="shared" si="8"/>
        <v>5.2554661072118085</v>
      </c>
      <c r="AB43" s="2">
        <f t="shared" si="9"/>
        <v>7.3961670170839087</v>
      </c>
    </row>
    <row r="44" spans="1:28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5"/>
        <v>124.05557869819053</v>
      </c>
      <c r="T44" s="2">
        <f t="shared" si="6"/>
        <v>3.9787767271886918</v>
      </c>
      <c r="U44" s="2">
        <f t="shared" si="4"/>
        <v>56.834822043922692</v>
      </c>
      <c r="W44">
        <v>3.102859258651733</v>
      </c>
      <c r="X44">
        <v>1.861116409301758</v>
      </c>
      <c r="Y44">
        <f t="shared" si="7"/>
        <v>71.022849661152762</v>
      </c>
      <c r="AA44" s="2">
        <f t="shared" si="8"/>
        <v>1.9323875268099617</v>
      </c>
      <c r="AB44" s="2">
        <f t="shared" si="9"/>
        <v>71.294653410194016</v>
      </c>
    </row>
    <row r="45" spans="1:28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5"/>
        <v>117.38720001137789</v>
      </c>
      <c r="T45" s="2">
        <f t="shared" si="6"/>
        <v>4.7073043691195764</v>
      </c>
      <c r="U45" s="2">
        <f t="shared" si="4"/>
        <v>3.2827402662356167</v>
      </c>
      <c r="W45">
        <v>2.7647426128387451</v>
      </c>
      <c r="X45">
        <v>1.183271646499634</v>
      </c>
      <c r="Y45">
        <f t="shared" si="7"/>
        <v>99.535912691984763</v>
      </c>
      <c r="AA45" s="2">
        <f t="shared" si="8"/>
        <v>3.6742173772299824</v>
      </c>
      <c r="AB45" s="2">
        <f t="shared" si="9"/>
        <v>13.601348550272075</v>
      </c>
    </row>
    <row r="46" spans="1:28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5"/>
        <v>117.797055321</v>
      </c>
      <c r="T46" s="2">
        <f t="shared" si="6"/>
        <v>3.8844941859082596</v>
      </c>
      <c r="U46" s="2">
        <f t="shared" si="4"/>
        <v>10.771184902682798</v>
      </c>
      <c r="W46">
        <v>4.0099797248840332</v>
      </c>
      <c r="X46">
        <v>1.601717591285706</v>
      </c>
      <c r="Y46">
        <f t="shared" si="7"/>
        <v>106.65120979509615</v>
      </c>
      <c r="AA46" s="2">
        <f t="shared" si="8"/>
        <v>4.6446216706529153</v>
      </c>
      <c r="AB46" s="2">
        <f t="shared" si="9"/>
        <v>5.3207253607118679</v>
      </c>
    </row>
    <row r="47" spans="1:28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5"/>
        <v>89.221511714556357</v>
      </c>
      <c r="T47" s="2">
        <f t="shared" si="6"/>
        <v>6.2759463050099438</v>
      </c>
      <c r="U47" s="2">
        <f t="shared" si="4"/>
        <v>1.0075647763815918</v>
      </c>
      <c r="W47">
        <v>6.3505568504333496</v>
      </c>
      <c r="X47">
        <v>3.3231456279754639</v>
      </c>
      <c r="Y47">
        <f t="shared" si="7"/>
        <v>81.408919297484118</v>
      </c>
      <c r="AA47" s="2">
        <f t="shared" si="8"/>
        <v>2.8372574903098222</v>
      </c>
      <c r="AB47" s="2">
        <f t="shared" si="9"/>
        <v>6.4871864637890244</v>
      </c>
    </row>
    <row r="48" spans="1:28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5"/>
        <v>101.79507028989894</v>
      </c>
      <c r="T48" s="2">
        <f t="shared" si="6"/>
        <v>5.8006759119568931</v>
      </c>
      <c r="U48" s="2">
        <f t="shared" si="4"/>
        <v>0.66094489918848365</v>
      </c>
      <c r="W48">
        <v>6.7300195693969727</v>
      </c>
      <c r="X48">
        <v>3.0132350921630859</v>
      </c>
      <c r="Y48">
        <f t="shared" si="7"/>
        <v>95.146510528422112</v>
      </c>
      <c r="AA48" s="2">
        <f t="shared" si="8"/>
        <v>3.1122114336331732</v>
      </c>
      <c r="AB48" s="2">
        <f t="shared" si="9"/>
        <v>3.6580237422369577</v>
      </c>
    </row>
    <row r="49" spans="1:28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53.814924410000003</v>
      </c>
      <c r="M49">
        <v>310.10436390000001</v>
      </c>
      <c r="N49">
        <v>7.3927227489999998</v>
      </c>
      <c r="P49">
        <v>25.117999999999999</v>
      </c>
      <c r="Q49">
        <v>49.35</v>
      </c>
      <c r="R49">
        <f t="shared" si="5"/>
        <v>21.682405083838052</v>
      </c>
      <c r="T49" s="2">
        <f t="shared" si="6"/>
        <v>114.24844497969586</v>
      </c>
      <c r="U49" s="2">
        <f t="shared" si="4"/>
        <v>528.37763708206683</v>
      </c>
      <c r="W49">
        <v>16.826993942260739</v>
      </c>
      <c r="X49">
        <v>16.23152923583984</v>
      </c>
      <c r="Y49">
        <f t="shared" si="7"/>
        <v>44.162805514409442</v>
      </c>
      <c r="AA49" s="2">
        <f t="shared" si="8"/>
        <v>33.008225407035837</v>
      </c>
      <c r="AB49" s="2">
        <f t="shared" si="9"/>
        <v>67.109363250577843</v>
      </c>
    </row>
    <row r="50" spans="1:28" x14ac:dyDescent="0.2">
      <c r="T50" t="s">
        <v>22</v>
      </c>
      <c r="U50" t="s">
        <v>23</v>
      </c>
      <c r="W50"/>
      <c r="AA50" t="s">
        <v>22</v>
      </c>
      <c r="AB50" t="s">
        <v>23</v>
      </c>
    </row>
    <row r="51" spans="1:28" x14ac:dyDescent="0.2">
      <c r="T51" s="2">
        <f>AVERAGEIF(T3:T49, "&lt;=50", T3:T49)</f>
        <v>6.1365574141374859</v>
      </c>
      <c r="U51" s="2">
        <f>AVERAGEIF(U3:U49, "&lt;=50", U3:U49)</f>
        <v>9.3641724638717125</v>
      </c>
      <c r="AA51" s="2">
        <f>AVERAGEIF(AA3:AA49, "&lt;=50", AA3:AA49)</f>
        <v>7.2448320926210323</v>
      </c>
      <c r="AB51" s="2">
        <f>AVERAGEIF(AB3:AB49, "&lt;=50", AB3:AB49)</f>
        <v>11.681834028516885</v>
      </c>
    </row>
  </sheetData>
  <phoneticPr fontId="1" type="noConversion"/>
  <conditionalFormatting sqref="T3:U49">
    <cfRule type="expression" dxfId="2" priority="2">
      <formula>OR($T3&gt;=30, $U3&gt;=30)</formula>
    </cfRule>
  </conditionalFormatting>
  <conditionalFormatting sqref="AA3:AB49 AA51:AB51">
    <cfRule type="expression" dxfId="3" priority="1">
      <formula>OR($AA3&gt;=30, $AB3&gt;=30)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2026-04-02T03:22:11Z</dcterms:modified>
</cp:coreProperties>
</file>