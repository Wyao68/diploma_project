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3\Desktop\diploma_project\coils_model\transfer_data\"/>
    </mc:Choice>
  </mc:AlternateContent>
  <xr:revisionPtr revIDLastSave="0" documentId="13_ncr:1_{022D10E7-C755-4EE4-8F0A-8AE6B9D6DB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仿真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8" i="1" l="1"/>
  <c r="F48" i="1"/>
  <c r="G48" i="1" s="1"/>
  <c r="M47" i="1"/>
  <c r="F47" i="1"/>
  <c r="M46" i="1"/>
  <c r="F46" i="1"/>
  <c r="M45" i="1"/>
  <c r="F45" i="1"/>
  <c r="M44" i="1"/>
  <c r="G44" i="1"/>
  <c r="I44" i="1" s="1"/>
  <c r="F44" i="1"/>
  <c r="M43" i="1"/>
  <c r="F43" i="1"/>
  <c r="G43" i="1" s="1"/>
  <c r="H43" i="1" s="1"/>
  <c r="M42" i="1"/>
  <c r="F42" i="1"/>
  <c r="M41" i="1"/>
  <c r="F41" i="1"/>
  <c r="M40" i="1"/>
  <c r="F40" i="1"/>
  <c r="M39" i="1"/>
  <c r="F39" i="1"/>
  <c r="G39" i="1" s="1"/>
  <c r="M38" i="1"/>
  <c r="F38" i="1"/>
  <c r="M37" i="1"/>
  <c r="F37" i="1"/>
  <c r="M36" i="1"/>
  <c r="F36" i="1"/>
  <c r="G36" i="1" s="1"/>
  <c r="M35" i="1"/>
  <c r="F35" i="1"/>
  <c r="M34" i="1"/>
  <c r="F34" i="1"/>
  <c r="G34" i="1" s="1"/>
  <c r="M33" i="1"/>
  <c r="F33" i="1"/>
  <c r="M32" i="1"/>
  <c r="F32" i="1"/>
  <c r="G32" i="1" s="1"/>
  <c r="M31" i="1"/>
  <c r="F31" i="1"/>
  <c r="M30" i="1"/>
  <c r="F30" i="1"/>
  <c r="M29" i="1"/>
  <c r="F29" i="1"/>
  <c r="M28" i="1"/>
  <c r="F28" i="1"/>
  <c r="M27" i="1"/>
  <c r="F27" i="1"/>
  <c r="G27" i="1" s="1"/>
  <c r="H27" i="1" s="1"/>
  <c r="M26" i="1"/>
  <c r="F26" i="1"/>
  <c r="M25" i="1"/>
  <c r="F25" i="1"/>
  <c r="M24" i="1"/>
  <c r="F24" i="1"/>
  <c r="M23" i="1"/>
  <c r="F23" i="1"/>
  <c r="M22" i="1"/>
  <c r="F22" i="1"/>
  <c r="M21" i="1"/>
  <c r="F21" i="1"/>
  <c r="G21" i="1" s="1"/>
  <c r="M20" i="1"/>
  <c r="F20" i="1"/>
  <c r="M19" i="1"/>
  <c r="F19" i="1"/>
  <c r="M18" i="1"/>
  <c r="F18" i="1"/>
  <c r="G18" i="1" s="1"/>
  <c r="M17" i="1"/>
  <c r="G17" i="1"/>
  <c r="I17" i="1" s="1"/>
  <c r="F17" i="1"/>
  <c r="M16" i="1"/>
  <c r="F16" i="1"/>
  <c r="G16" i="1" s="1"/>
  <c r="M15" i="1"/>
  <c r="F15" i="1"/>
  <c r="M14" i="1"/>
  <c r="F14" i="1"/>
  <c r="M13" i="1"/>
  <c r="F13" i="1"/>
  <c r="M12" i="1"/>
  <c r="F12" i="1"/>
  <c r="G12" i="1" s="1"/>
  <c r="H12" i="1" s="1"/>
  <c r="M11" i="1"/>
  <c r="F11" i="1"/>
  <c r="G11" i="1" s="1"/>
  <c r="H11" i="1" s="1"/>
  <c r="M10" i="1"/>
  <c r="F10" i="1"/>
  <c r="M9" i="1"/>
  <c r="F9" i="1"/>
  <c r="M8" i="1"/>
  <c r="F8" i="1"/>
  <c r="M7" i="1"/>
  <c r="F7" i="1"/>
  <c r="G7" i="1" s="1"/>
  <c r="I7" i="1" s="1"/>
  <c r="M6" i="1"/>
  <c r="F6" i="1"/>
  <c r="M5" i="1"/>
  <c r="F5" i="1"/>
  <c r="M4" i="1"/>
  <c r="F4" i="1"/>
  <c r="G4" i="1" s="1"/>
  <c r="M3" i="1"/>
  <c r="F3" i="1"/>
  <c r="M2" i="1"/>
  <c r="F2" i="1"/>
  <c r="G2" i="1" s="1"/>
  <c r="H44" i="1" l="1"/>
  <c r="H7" i="1"/>
  <c r="G33" i="1"/>
  <c r="I33" i="1" s="1"/>
  <c r="G15" i="1"/>
  <c r="I15" i="1" s="1"/>
  <c r="H39" i="1"/>
  <c r="I39" i="1"/>
  <c r="I37" i="1"/>
  <c r="I21" i="1"/>
  <c r="H13" i="1"/>
  <c r="I13" i="1"/>
  <c r="G5" i="1"/>
  <c r="I5" i="1" s="1"/>
  <c r="G28" i="1"/>
  <c r="H28" i="1" s="1"/>
  <c r="G20" i="1"/>
  <c r="H20" i="1" s="1"/>
  <c r="I4" i="1"/>
  <c r="I12" i="1"/>
  <c r="H17" i="1"/>
  <c r="G23" i="1"/>
  <c r="I23" i="1" s="1"/>
  <c r="G37" i="1"/>
  <c r="H23" i="1"/>
  <c r="I36" i="1"/>
  <c r="G13" i="1"/>
  <c r="H33" i="1"/>
  <c r="I18" i="1"/>
  <c r="H18" i="1"/>
  <c r="I2" i="1"/>
  <c r="H2" i="1"/>
  <c r="I34" i="1"/>
  <c r="H34" i="1"/>
  <c r="I46" i="1"/>
  <c r="H32" i="1"/>
  <c r="H48" i="1"/>
  <c r="G10" i="1"/>
  <c r="I10" i="1" s="1"/>
  <c r="I16" i="1"/>
  <c r="H21" i="1"/>
  <c r="G26" i="1"/>
  <c r="H26" i="1" s="1"/>
  <c r="I32" i="1"/>
  <c r="H37" i="1"/>
  <c r="G42" i="1"/>
  <c r="I42" i="1" s="1"/>
  <c r="I48" i="1"/>
  <c r="G31" i="1"/>
  <c r="H31" i="1" s="1"/>
  <c r="G47" i="1"/>
  <c r="I47" i="1" s="1"/>
  <c r="I27" i="1"/>
  <c r="H47" i="1"/>
  <c r="I43" i="1"/>
  <c r="H4" i="1"/>
  <c r="G9" i="1"/>
  <c r="I9" i="1" s="1"/>
  <c r="G25" i="1"/>
  <c r="I25" i="1" s="1"/>
  <c r="H36" i="1"/>
  <c r="G41" i="1"/>
  <c r="I41" i="1" s="1"/>
  <c r="G14" i="1"/>
  <c r="I14" i="1" s="1"/>
  <c r="H25" i="1"/>
  <c r="G30" i="1"/>
  <c r="I30" i="1" s="1"/>
  <c r="G46" i="1"/>
  <c r="H46" i="1" s="1"/>
  <c r="H16" i="1"/>
  <c r="G3" i="1"/>
  <c r="I3" i="1" s="1"/>
  <c r="G19" i="1"/>
  <c r="H19" i="1" s="1"/>
  <c r="G35" i="1"/>
  <c r="H35" i="1" s="1"/>
  <c r="G8" i="1"/>
  <c r="H8" i="1" s="1"/>
  <c r="G24" i="1"/>
  <c r="I24" i="1" s="1"/>
  <c r="G40" i="1"/>
  <c r="I40" i="1" s="1"/>
  <c r="G29" i="1"/>
  <c r="I29" i="1" s="1"/>
  <c r="G45" i="1"/>
  <c r="I45" i="1" s="1"/>
  <c r="I11" i="1"/>
  <c r="H45" i="1"/>
  <c r="G6" i="1"/>
  <c r="I6" i="1" s="1"/>
  <c r="G22" i="1"/>
  <c r="H22" i="1" s="1"/>
  <c r="G38" i="1"/>
  <c r="H38" i="1" s="1"/>
  <c r="I28" i="1" l="1"/>
  <c r="I8" i="1"/>
  <c r="I20" i="1"/>
  <c r="H24" i="1"/>
  <c r="H5" i="1"/>
  <c r="I26" i="1"/>
  <c r="H15" i="1"/>
  <c r="H30" i="1"/>
  <c r="H14" i="1"/>
  <c r="H42" i="1"/>
  <c r="H41" i="1"/>
  <c r="I38" i="1"/>
  <c r="H10" i="1"/>
  <c r="I19" i="1"/>
  <c r="I35" i="1"/>
  <c r="H29" i="1"/>
  <c r="I31" i="1"/>
  <c r="H9" i="1"/>
  <c r="I22" i="1"/>
  <c r="H6" i="1"/>
  <c r="H40" i="1"/>
  <c r="H3" i="1"/>
</calcChain>
</file>

<file path=xl/sharedStrings.xml><?xml version="1.0" encoding="utf-8"?>
<sst xmlns="http://schemas.openxmlformats.org/spreadsheetml/2006/main" count="13" uniqueCount="13">
  <si>
    <t>N</t>
  </si>
  <si>
    <t>a [mm]</t>
  </si>
  <si>
    <t>d [mm]</t>
  </si>
  <si>
    <t>my_theta [deg]</t>
  </si>
  <si>
    <t>p [mm]</t>
  </si>
  <si>
    <t>d_out [mm]</t>
  </si>
  <si>
    <t>d_in [mm]</t>
  </si>
  <si>
    <t>L_dc [uH]</t>
  </si>
  <si>
    <t>R_dc [Ω]</t>
  </si>
  <si>
    <t>Freq [MHz]</t>
  </si>
  <si>
    <t>Q</t>
  </si>
  <si>
    <t>L[uH]</t>
  </si>
  <si>
    <t>R[Ω]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</si>
</sst>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"/>
  <sheetViews>
    <sheetView tabSelected="1" zoomScaleNormal="100" workbookViewId="0">
      <selection activeCell="Q8" sqref="Q8"/>
    </sheetView>
  </sheetViews>
  <sheetFormatPr defaultColWidth="8.625" defaultRowHeight="14.25" x14ac:dyDescent="0.2"/>
  <cols>
    <col min="15" max="15" width="8.625" style="1" customWidth="1"/>
    <col min="20" max="20" width="11.125" style="1" customWidth="1"/>
    <col min="21" max="21" width="10.125" style="1" customWidth="1"/>
    <col min="23" max="23" width="10.625" style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10</v>
      </c>
      <c r="T1"/>
      <c r="U1"/>
    </row>
    <row r="2" spans="1:21" x14ac:dyDescent="0.2">
      <c r="A2">
        <v>2</v>
      </c>
      <c r="B2">
        <v>30</v>
      </c>
      <c r="C2">
        <v>1.8</v>
      </c>
      <c r="D2">
        <v>49.9</v>
      </c>
      <c r="E2">
        <v>0.4</v>
      </c>
      <c r="F2">
        <f t="shared" ref="F2:F48" si="0">B2</f>
        <v>30</v>
      </c>
      <c r="G2">
        <f t="shared" ref="G2:G48" si="1">F2-(A2-1)*2*(C2+E2)-2*C2</f>
        <v>22</v>
      </c>
      <c r="H2">
        <f t="shared" ref="H2:H48" si="2">2.34*0.000001257*(0.5*A2^2*(F2+G2))/(1+2.73*(F2-G2)/(F2+G2))*1000</f>
        <v>0.21542501408450704</v>
      </c>
      <c r="I2">
        <f t="shared" ref="I2:I48" si="3">0.0000000168*4*0.5*(F2+G2)/(0.00007*C2)</f>
        <v>1.3866666666666668E-2</v>
      </c>
      <c r="J2">
        <v>6.78</v>
      </c>
      <c r="K2">
        <v>0.17976</v>
      </c>
      <c r="L2">
        <v>8.6578000000000002E-2</v>
      </c>
      <c r="M2">
        <f t="shared" ref="M2:M48" si="4">6780000*2*3.1415926*K2*0.000001/L2</f>
        <v>88.449435412259007</v>
      </c>
      <c r="T2"/>
      <c r="U2"/>
    </row>
    <row r="3" spans="1:21" x14ac:dyDescent="0.2">
      <c r="A3">
        <v>2</v>
      </c>
      <c r="B3">
        <v>30</v>
      </c>
      <c r="C3">
        <v>0.8</v>
      </c>
      <c r="D3">
        <v>69.900000000000006</v>
      </c>
      <c r="E3">
        <v>0.8</v>
      </c>
      <c r="F3">
        <f t="shared" si="0"/>
        <v>30</v>
      </c>
      <c r="G3">
        <f t="shared" si="1"/>
        <v>25.2</v>
      </c>
      <c r="H3">
        <f t="shared" si="2"/>
        <v>0.26242979957835555</v>
      </c>
      <c r="I3">
        <f t="shared" si="3"/>
        <v>3.3120000000000004E-2</v>
      </c>
      <c r="J3">
        <v>6.78</v>
      </c>
      <c r="K3">
        <v>0.21931999999999999</v>
      </c>
      <c r="L3">
        <v>0.13755999999999999</v>
      </c>
      <c r="M3">
        <f t="shared" si="4"/>
        <v>67.919679029324811</v>
      </c>
      <c r="T3"/>
      <c r="U3"/>
    </row>
    <row r="4" spans="1:21" x14ac:dyDescent="0.2">
      <c r="A4">
        <v>2</v>
      </c>
      <c r="B4">
        <v>35</v>
      </c>
      <c r="C4">
        <v>1</v>
      </c>
      <c r="D4">
        <v>89.9</v>
      </c>
      <c r="E4">
        <v>1.2</v>
      </c>
      <c r="F4">
        <f t="shared" si="0"/>
        <v>35</v>
      </c>
      <c r="G4">
        <f t="shared" si="1"/>
        <v>28.6</v>
      </c>
      <c r="H4">
        <f t="shared" si="2"/>
        <v>0.29351106287744227</v>
      </c>
      <c r="I4">
        <f t="shared" si="3"/>
        <v>3.0528000000000007E-2</v>
      </c>
      <c r="J4">
        <v>6.78</v>
      </c>
      <c r="K4">
        <v>0.23283999999999999</v>
      </c>
      <c r="L4">
        <v>0.12096999999999999</v>
      </c>
      <c r="M4">
        <f t="shared" si="4"/>
        <v>81.995395457907264</v>
      </c>
      <c r="T4"/>
      <c r="U4"/>
    </row>
    <row r="5" spans="1:21" x14ac:dyDescent="0.2">
      <c r="A5">
        <v>2</v>
      </c>
      <c r="B5">
        <v>40</v>
      </c>
      <c r="C5">
        <v>1.8</v>
      </c>
      <c r="D5">
        <v>69.900000000000006</v>
      </c>
      <c r="E5">
        <v>1.2</v>
      </c>
      <c r="F5">
        <f t="shared" si="0"/>
        <v>40</v>
      </c>
      <c r="G5">
        <f t="shared" si="1"/>
        <v>30.4</v>
      </c>
      <c r="H5">
        <f t="shared" si="2"/>
        <v>0.30179591546869822</v>
      </c>
      <c r="I5">
        <f t="shared" si="3"/>
        <v>1.8773333333333336E-2</v>
      </c>
      <c r="J5">
        <v>6.78</v>
      </c>
      <c r="K5">
        <v>0.24548</v>
      </c>
      <c r="L5">
        <v>9.8413E-2</v>
      </c>
      <c r="M5">
        <f t="shared" si="4"/>
        <v>106.26082868762136</v>
      </c>
      <c r="T5"/>
      <c r="U5"/>
    </row>
    <row r="6" spans="1:21" x14ac:dyDescent="0.2">
      <c r="A6">
        <v>2</v>
      </c>
      <c r="B6">
        <v>45</v>
      </c>
      <c r="C6">
        <v>0.8</v>
      </c>
      <c r="D6">
        <v>9.9</v>
      </c>
      <c r="E6">
        <v>0.6</v>
      </c>
      <c r="F6">
        <f t="shared" si="0"/>
        <v>45</v>
      </c>
      <c r="G6">
        <f t="shared" si="1"/>
        <v>40.6</v>
      </c>
      <c r="H6">
        <f t="shared" si="2"/>
        <v>0.44159632333729454</v>
      </c>
      <c r="I6">
        <f t="shared" si="3"/>
        <v>5.1360000000000003E-2</v>
      </c>
      <c r="J6">
        <v>6.78</v>
      </c>
      <c r="K6">
        <v>0.43146000000000001</v>
      </c>
      <c r="L6">
        <v>0.22389999999999999</v>
      </c>
      <c r="M6">
        <f t="shared" si="4"/>
        <v>82.09108586752015</v>
      </c>
      <c r="T6"/>
      <c r="U6"/>
    </row>
    <row r="7" spans="1:21" x14ac:dyDescent="0.2">
      <c r="A7">
        <v>2</v>
      </c>
      <c r="B7">
        <v>50</v>
      </c>
      <c r="C7">
        <v>1.8</v>
      </c>
      <c r="D7">
        <v>9.9</v>
      </c>
      <c r="E7">
        <v>0.8</v>
      </c>
      <c r="F7">
        <f t="shared" si="0"/>
        <v>50</v>
      </c>
      <c r="G7">
        <f t="shared" si="1"/>
        <v>41.199999999999996</v>
      </c>
      <c r="H7">
        <f t="shared" si="2"/>
        <v>0.42464680391585063</v>
      </c>
      <c r="I7">
        <f t="shared" si="3"/>
        <v>2.4319999999999998E-2</v>
      </c>
      <c r="J7">
        <v>6.78</v>
      </c>
      <c r="K7">
        <v>0.39315</v>
      </c>
      <c r="L7">
        <v>0.13231999999999999</v>
      </c>
      <c r="M7">
        <f t="shared" si="4"/>
        <v>126.57336980166569</v>
      </c>
      <c r="T7"/>
      <c r="U7"/>
    </row>
    <row r="8" spans="1:21" x14ac:dyDescent="0.2">
      <c r="A8">
        <v>2</v>
      </c>
      <c r="B8">
        <v>55</v>
      </c>
      <c r="C8">
        <v>1.8</v>
      </c>
      <c r="D8">
        <v>29.9</v>
      </c>
      <c r="E8">
        <v>0.4</v>
      </c>
      <c r="F8">
        <f t="shared" si="0"/>
        <v>55</v>
      </c>
      <c r="G8">
        <f t="shared" si="1"/>
        <v>47</v>
      </c>
      <c r="H8">
        <f t="shared" si="2"/>
        <v>0.49422024418604649</v>
      </c>
      <c r="I8">
        <f t="shared" si="3"/>
        <v>2.7200000000000002E-2</v>
      </c>
      <c r="J8">
        <v>6.78</v>
      </c>
      <c r="K8">
        <v>0.45007000000000003</v>
      </c>
      <c r="L8">
        <v>0.13994999999999999</v>
      </c>
      <c r="M8">
        <f t="shared" si="4"/>
        <v>136.99878560125703</v>
      </c>
      <c r="T8"/>
      <c r="U8"/>
    </row>
    <row r="9" spans="1:21" x14ac:dyDescent="0.2">
      <c r="A9">
        <v>2</v>
      </c>
      <c r="B9">
        <v>60</v>
      </c>
      <c r="C9">
        <v>0.8</v>
      </c>
      <c r="D9">
        <v>89.9</v>
      </c>
      <c r="E9">
        <v>0.6</v>
      </c>
      <c r="F9">
        <f t="shared" si="0"/>
        <v>60</v>
      </c>
      <c r="G9">
        <f t="shared" si="1"/>
        <v>55.6</v>
      </c>
      <c r="H9">
        <f t="shared" si="2"/>
        <v>0.61603485309845463</v>
      </c>
      <c r="I9">
        <f t="shared" si="3"/>
        <v>6.9359999999999991E-2</v>
      </c>
      <c r="J9">
        <v>6.78</v>
      </c>
      <c r="K9">
        <v>0.52566000000000002</v>
      </c>
      <c r="L9">
        <v>0.21078</v>
      </c>
      <c r="M9">
        <f t="shared" si="4"/>
        <v>106.23927183097523</v>
      </c>
      <c r="T9"/>
      <c r="U9"/>
    </row>
    <row r="10" spans="1:21" x14ac:dyDescent="0.2">
      <c r="A10">
        <v>3</v>
      </c>
      <c r="B10">
        <v>30</v>
      </c>
      <c r="C10">
        <v>1</v>
      </c>
      <c r="D10">
        <v>9.9</v>
      </c>
      <c r="E10">
        <v>0.6</v>
      </c>
      <c r="F10">
        <f t="shared" si="0"/>
        <v>30</v>
      </c>
      <c r="G10">
        <f t="shared" si="1"/>
        <v>21.6</v>
      </c>
      <c r="H10">
        <f t="shared" si="2"/>
        <v>0.47284660679439711</v>
      </c>
      <c r="I10">
        <f t="shared" si="3"/>
        <v>2.4768000000000005E-2</v>
      </c>
      <c r="J10">
        <v>6.78</v>
      </c>
      <c r="K10">
        <v>0.41281000000000001</v>
      </c>
      <c r="L10">
        <v>0.2019</v>
      </c>
      <c r="M10">
        <f t="shared" si="4"/>
        <v>87.101060954697189</v>
      </c>
      <c r="T10"/>
      <c r="U10"/>
    </row>
    <row r="11" spans="1:21" x14ac:dyDescent="0.2">
      <c r="A11">
        <v>3</v>
      </c>
      <c r="B11">
        <v>40</v>
      </c>
      <c r="C11">
        <v>1.2</v>
      </c>
      <c r="D11">
        <v>9.9</v>
      </c>
      <c r="E11">
        <v>1.2</v>
      </c>
      <c r="F11">
        <f t="shared" si="0"/>
        <v>40</v>
      </c>
      <c r="G11">
        <f t="shared" si="1"/>
        <v>28</v>
      </c>
      <c r="H11">
        <f t="shared" si="2"/>
        <v>0.60742591345772134</v>
      </c>
      <c r="I11">
        <f t="shared" si="3"/>
        <v>2.7200000000000002E-2</v>
      </c>
      <c r="J11">
        <v>6.78</v>
      </c>
      <c r="K11">
        <v>0.54320000000000002</v>
      </c>
      <c r="L11">
        <v>0.21759000000000001</v>
      </c>
      <c r="M11">
        <f t="shared" si="4"/>
        <v>106.34825883698332</v>
      </c>
      <c r="T11"/>
      <c r="U11"/>
    </row>
    <row r="12" spans="1:21" x14ac:dyDescent="0.2">
      <c r="A12">
        <v>3</v>
      </c>
      <c r="B12">
        <v>40</v>
      </c>
      <c r="C12">
        <v>1.4</v>
      </c>
      <c r="D12">
        <v>29.9</v>
      </c>
      <c r="E12">
        <v>0.8</v>
      </c>
      <c r="F12">
        <f t="shared" si="0"/>
        <v>40</v>
      </c>
      <c r="G12">
        <f t="shared" si="1"/>
        <v>28.4</v>
      </c>
      <c r="H12">
        <f t="shared" si="2"/>
        <v>0.61884321319103008</v>
      </c>
      <c r="I12">
        <f t="shared" si="3"/>
        <v>2.3451428571428581E-2</v>
      </c>
      <c r="J12">
        <v>6.78</v>
      </c>
      <c r="K12">
        <v>0.52893999999999997</v>
      </c>
      <c r="L12">
        <v>0.20279</v>
      </c>
      <c r="M12">
        <f t="shared" si="4"/>
        <v>111.11416589715785</v>
      </c>
      <c r="T12"/>
      <c r="U12"/>
    </row>
    <row r="13" spans="1:21" x14ac:dyDescent="0.2">
      <c r="A13">
        <v>3</v>
      </c>
      <c r="B13">
        <v>45</v>
      </c>
      <c r="C13">
        <v>1.8</v>
      </c>
      <c r="D13">
        <v>9.9</v>
      </c>
      <c r="E13">
        <v>1.2</v>
      </c>
      <c r="F13">
        <f t="shared" si="0"/>
        <v>45</v>
      </c>
      <c r="G13">
        <f t="shared" si="1"/>
        <v>29.4</v>
      </c>
      <c r="H13">
        <f t="shared" si="2"/>
        <v>0.62627951059595866</v>
      </c>
      <c r="I13">
        <f t="shared" si="3"/>
        <v>1.9840000000000003E-2</v>
      </c>
      <c r="J13">
        <v>6.78</v>
      </c>
      <c r="K13">
        <v>0.55549999999999999</v>
      </c>
      <c r="L13">
        <v>0.18973000000000001</v>
      </c>
      <c r="M13">
        <f t="shared" si="4"/>
        <v>124.72617713017445</v>
      </c>
      <c r="T13"/>
      <c r="U13"/>
    </row>
    <row r="14" spans="1:21" x14ac:dyDescent="0.2">
      <c r="A14">
        <v>3</v>
      </c>
      <c r="B14">
        <v>50</v>
      </c>
      <c r="C14">
        <v>1.8</v>
      </c>
      <c r="D14">
        <v>29.9</v>
      </c>
      <c r="E14">
        <v>1.2</v>
      </c>
      <c r="F14">
        <f t="shared" si="0"/>
        <v>50</v>
      </c>
      <c r="G14">
        <f t="shared" si="1"/>
        <v>34.4</v>
      </c>
      <c r="H14">
        <f t="shared" si="2"/>
        <v>0.74248187911928687</v>
      </c>
      <c r="I14">
        <f t="shared" si="3"/>
        <v>2.2506666666666668E-2</v>
      </c>
      <c r="J14">
        <v>6.78</v>
      </c>
      <c r="K14">
        <v>0.64193</v>
      </c>
      <c r="L14">
        <v>0.20407</v>
      </c>
      <c r="M14">
        <f t="shared" si="4"/>
        <v>134.00409276942264</v>
      </c>
      <c r="T14"/>
      <c r="U14"/>
    </row>
    <row r="15" spans="1:21" x14ac:dyDescent="0.2">
      <c r="A15">
        <v>3</v>
      </c>
      <c r="B15">
        <v>55</v>
      </c>
      <c r="C15">
        <v>1.6</v>
      </c>
      <c r="D15">
        <v>49.9</v>
      </c>
      <c r="E15">
        <v>1</v>
      </c>
      <c r="F15">
        <f t="shared" si="0"/>
        <v>55</v>
      </c>
      <c r="G15">
        <f t="shared" si="1"/>
        <v>41.4</v>
      </c>
      <c r="H15">
        <f t="shared" si="2"/>
        <v>0.9211818501108382</v>
      </c>
      <c r="I15">
        <f t="shared" si="3"/>
        <v>2.8920000000000005E-2</v>
      </c>
      <c r="J15">
        <v>6.78</v>
      </c>
      <c r="K15">
        <v>0.77481999999999995</v>
      </c>
      <c r="L15">
        <v>0.2261</v>
      </c>
      <c r="M15">
        <f t="shared" si="4"/>
        <v>145.98553133207395</v>
      </c>
      <c r="T15"/>
      <c r="U15"/>
    </row>
    <row r="16" spans="1:21" x14ac:dyDescent="0.2">
      <c r="A16">
        <v>3</v>
      </c>
      <c r="B16">
        <v>60</v>
      </c>
      <c r="C16">
        <v>1.4</v>
      </c>
      <c r="D16">
        <v>9.9</v>
      </c>
      <c r="E16">
        <v>1.2</v>
      </c>
      <c r="F16">
        <f t="shared" si="0"/>
        <v>60</v>
      </c>
      <c r="G16">
        <f t="shared" si="1"/>
        <v>46.800000000000004</v>
      </c>
      <c r="H16">
        <f t="shared" si="2"/>
        <v>1.0569841493068974</v>
      </c>
      <c r="I16">
        <f t="shared" si="3"/>
        <v>3.6617142857142869E-2</v>
      </c>
      <c r="J16">
        <v>6.78</v>
      </c>
      <c r="K16">
        <v>0.98089000000000004</v>
      </c>
      <c r="L16">
        <v>0.27775</v>
      </c>
      <c r="M16">
        <f t="shared" si="4"/>
        <v>150.44431949239907</v>
      </c>
      <c r="T16"/>
      <c r="U16"/>
    </row>
    <row r="17" spans="1:21" x14ac:dyDescent="0.2">
      <c r="A17">
        <v>3</v>
      </c>
      <c r="B17">
        <v>70</v>
      </c>
      <c r="C17">
        <v>1.8</v>
      </c>
      <c r="D17">
        <v>49.9</v>
      </c>
      <c r="E17">
        <v>0.8</v>
      </c>
      <c r="F17">
        <f t="shared" si="0"/>
        <v>70</v>
      </c>
      <c r="G17">
        <f t="shared" si="1"/>
        <v>56</v>
      </c>
      <c r="H17">
        <f t="shared" si="2"/>
        <v>1.2796131406649616</v>
      </c>
      <c r="I17">
        <f t="shared" si="3"/>
        <v>3.3600000000000005E-2</v>
      </c>
      <c r="J17">
        <v>6.78</v>
      </c>
      <c r="K17">
        <v>1.1099000000000001</v>
      </c>
      <c r="L17">
        <v>0.24301</v>
      </c>
      <c r="M17">
        <f t="shared" si="4"/>
        <v>194.56703501335093</v>
      </c>
      <c r="T17"/>
      <c r="U17"/>
    </row>
    <row r="18" spans="1:21" x14ac:dyDescent="0.2">
      <c r="A18">
        <v>4</v>
      </c>
      <c r="B18">
        <v>30</v>
      </c>
      <c r="C18">
        <v>0.8</v>
      </c>
      <c r="D18">
        <v>30</v>
      </c>
      <c r="E18">
        <v>0.5</v>
      </c>
      <c r="F18">
        <f t="shared" si="0"/>
        <v>30</v>
      </c>
      <c r="G18">
        <f t="shared" si="1"/>
        <v>20.599999999999998</v>
      </c>
      <c r="H18">
        <f t="shared" si="2"/>
        <v>0.79001250392593914</v>
      </c>
      <c r="I18">
        <f t="shared" si="3"/>
        <v>3.0360000000000002E-2</v>
      </c>
      <c r="J18">
        <v>6.78</v>
      </c>
      <c r="K18">
        <v>0.64695999999999998</v>
      </c>
      <c r="L18">
        <v>0.26497999999999999</v>
      </c>
      <c r="M18">
        <f t="shared" si="4"/>
        <v>104.00971088235249</v>
      </c>
      <c r="T18"/>
      <c r="U18"/>
    </row>
    <row r="19" spans="1:21" x14ac:dyDescent="0.2">
      <c r="A19">
        <v>4</v>
      </c>
      <c r="B19">
        <v>30</v>
      </c>
      <c r="C19">
        <v>1</v>
      </c>
      <c r="D19">
        <v>40</v>
      </c>
      <c r="E19">
        <v>0.7</v>
      </c>
      <c r="F19">
        <f t="shared" si="0"/>
        <v>30</v>
      </c>
      <c r="G19">
        <f t="shared" si="1"/>
        <v>17.8</v>
      </c>
      <c r="H19">
        <f t="shared" si="2"/>
        <v>0.66289376166498148</v>
      </c>
      <c r="I19">
        <f t="shared" si="3"/>
        <v>2.2944000000000003E-2</v>
      </c>
      <c r="J19">
        <v>6.78</v>
      </c>
      <c r="K19">
        <v>0.52949000000000002</v>
      </c>
      <c r="L19">
        <v>0.20624999999999999</v>
      </c>
      <c r="M19">
        <f t="shared" si="4"/>
        <v>109.36374157525063</v>
      </c>
      <c r="T19"/>
      <c r="U19"/>
    </row>
    <row r="20" spans="1:21" x14ac:dyDescent="0.2">
      <c r="A20">
        <v>4</v>
      </c>
      <c r="B20">
        <v>35</v>
      </c>
      <c r="C20">
        <v>0.8</v>
      </c>
      <c r="D20">
        <v>50</v>
      </c>
      <c r="E20">
        <v>0.5</v>
      </c>
      <c r="F20">
        <f t="shared" si="0"/>
        <v>35</v>
      </c>
      <c r="G20">
        <f t="shared" si="1"/>
        <v>25.599999999999998</v>
      </c>
      <c r="H20">
        <f t="shared" si="2"/>
        <v>1.0017672909786461</v>
      </c>
      <c r="I20">
        <f t="shared" si="3"/>
        <v>3.6359999999999996E-2</v>
      </c>
      <c r="J20">
        <v>6.78</v>
      </c>
      <c r="K20">
        <v>0.80198000000000003</v>
      </c>
      <c r="L20">
        <v>0.32780999999999999</v>
      </c>
      <c r="M20">
        <f t="shared" si="4"/>
        <v>104.2199582569137</v>
      </c>
      <c r="T20"/>
      <c r="U20"/>
    </row>
    <row r="21" spans="1:21" x14ac:dyDescent="0.2">
      <c r="A21">
        <v>4</v>
      </c>
      <c r="B21">
        <v>40</v>
      </c>
      <c r="C21">
        <v>0.8</v>
      </c>
      <c r="D21">
        <v>85</v>
      </c>
      <c r="E21">
        <v>0.5</v>
      </c>
      <c r="F21">
        <f t="shared" si="0"/>
        <v>40</v>
      </c>
      <c r="G21">
        <f t="shared" si="1"/>
        <v>30.6</v>
      </c>
      <c r="H21">
        <f t="shared" si="2"/>
        <v>1.2184161406827199</v>
      </c>
      <c r="I21">
        <f t="shared" si="3"/>
        <v>4.2360000000000002E-2</v>
      </c>
      <c r="J21">
        <v>6.78</v>
      </c>
      <c r="K21">
        <v>0.91508</v>
      </c>
      <c r="L21">
        <v>0.29765000000000003</v>
      </c>
      <c r="M21">
        <f t="shared" si="4"/>
        <v>130.96725692891812</v>
      </c>
      <c r="T21"/>
      <c r="U21"/>
    </row>
    <row r="22" spans="1:21" x14ac:dyDescent="0.2">
      <c r="A22">
        <v>4</v>
      </c>
      <c r="B22">
        <v>40</v>
      </c>
      <c r="C22">
        <v>0.8</v>
      </c>
      <c r="D22">
        <v>20</v>
      </c>
      <c r="E22">
        <v>0.7</v>
      </c>
      <c r="F22">
        <f t="shared" si="0"/>
        <v>40</v>
      </c>
      <c r="G22">
        <f t="shared" si="1"/>
        <v>29.4</v>
      </c>
      <c r="H22">
        <f t="shared" si="2"/>
        <v>1.1524940492424089</v>
      </c>
      <c r="I22">
        <f t="shared" si="3"/>
        <v>4.164000000000001E-2</v>
      </c>
      <c r="J22">
        <v>6.78</v>
      </c>
      <c r="K22">
        <v>1.0001</v>
      </c>
      <c r="L22">
        <v>0.33732000000000001</v>
      </c>
      <c r="M22">
        <f t="shared" si="4"/>
        <v>126.30219274150836</v>
      </c>
      <c r="T22"/>
      <c r="U22"/>
    </row>
    <row r="23" spans="1:21" x14ac:dyDescent="0.2">
      <c r="A23">
        <v>4</v>
      </c>
      <c r="B23">
        <v>40</v>
      </c>
      <c r="C23">
        <v>1</v>
      </c>
      <c r="D23">
        <v>20</v>
      </c>
      <c r="E23">
        <v>0.5</v>
      </c>
      <c r="F23">
        <f t="shared" si="0"/>
        <v>40</v>
      </c>
      <c r="G23">
        <f t="shared" si="1"/>
        <v>29</v>
      </c>
      <c r="H23">
        <f t="shared" si="2"/>
        <v>1.1312862914268405</v>
      </c>
      <c r="I23">
        <f t="shared" si="3"/>
        <v>3.3120000000000004E-2</v>
      </c>
      <c r="J23">
        <v>6.78</v>
      </c>
      <c r="K23">
        <v>0.97636000000000001</v>
      </c>
      <c r="L23">
        <v>0.35255999999999998</v>
      </c>
      <c r="M23">
        <f t="shared" si="4"/>
        <v>117.97405195907693</v>
      </c>
      <c r="T23"/>
      <c r="U23"/>
    </row>
    <row r="24" spans="1:21" x14ac:dyDescent="0.2">
      <c r="A24">
        <v>4</v>
      </c>
      <c r="B24">
        <v>50</v>
      </c>
      <c r="C24">
        <v>1</v>
      </c>
      <c r="D24">
        <v>60</v>
      </c>
      <c r="E24">
        <v>0.5</v>
      </c>
      <c r="F24">
        <f t="shared" si="0"/>
        <v>50</v>
      </c>
      <c r="G24">
        <f t="shared" si="1"/>
        <v>39</v>
      </c>
      <c r="H24">
        <f t="shared" si="2"/>
        <v>1.5659024434176259</v>
      </c>
      <c r="I24">
        <f t="shared" si="3"/>
        <v>4.2720000000000008E-2</v>
      </c>
      <c r="J24">
        <v>6.78</v>
      </c>
      <c r="K24">
        <v>1.2890999999999999</v>
      </c>
      <c r="L24">
        <v>0.41972999999999999</v>
      </c>
      <c r="M24">
        <f t="shared" si="4"/>
        <v>130.83566673849759</v>
      </c>
      <c r="T24"/>
      <c r="U24"/>
    </row>
    <row r="25" spans="1:21" x14ac:dyDescent="0.2">
      <c r="A25">
        <v>5</v>
      </c>
      <c r="B25">
        <v>40</v>
      </c>
      <c r="C25">
        <v>0.8</v>
      </c>
      <c r="D25">
        <v>9.9</v>
      </c>
      <c r="E25">
        <v>0.4</v>
      </c>
      <c r="F25">
        <f t="shared" si="0"/>
        <v>40</v>
      </c>
      <c r="G25">
        <f t="shared" si="1"/>
        <v>28.799999999999997</v>
      </c>
      <c r="H25">
        <f t="shared" si="2"/>
        <v>1.7512837288681369</v>
      </c>
      <c r="I25">
        <f t="shared" si="3"/>
        <v>4.1280000000000004E-2</v>
      </c>
      <c r="J25">
        <v>6.78</v>
      </c>
      <c r="K25">
        <v>1.5939000000000001</v>
      </c>
      <c r="L25">
        <v>0.63248000000000004</v>
      </c>
      <c r="M25">
        <f t="shared" si="4"/>
        <v>107.35538368975843</v>
      </c>
      <c r="T25"/>
      <c r="U25"/>
    </row>
    <row r="26" spans="1:21" x14ac:dyDescent="0.2">
      <c r="A26">
        <v>5</v>
      </c>
      <c r="B26">
        <v>40</v>
      </c>
      <c r="C26">
        <v>0.8</v>
      </c>
      <c r="D26">
        <v>9.9</v>
      </c>
      <c r="E26">
        <v>0.6</v>
      </c>
      <c r="F26">
        <f t="shared" si="0"/>
        <v>40</v>
      </c>
      <c r="G26">
        <f t="shared" si="1"/>
        <v>27.2</v>
      </c>
      <c r="H26">
        <f t="shared" si="2"/>
        <v>1.6254994736842103</v>
      </c>
      <c r="I26">
        <f t="shared" si="3"/>
        <v>4.0320000000000002E-2</v>
      </c>
      <c r="J26">
        <v>6.78</v>
      </c>
      <c r="K26">
        <v>1.4652000000000001</v>
      </c>
      <c r="L26">
        <v>0.64063999999999999</v>
      </c>
      <c r="M26">
        <f t="shared" si="4"/>
        <v>97.429935119835179</v>
      </c>
      <c r="T26"/>
      <c r="U26"/>
    </row>
    <row r="27" spans="1:21" x14ac:dyDescent="0.2">
      <c r="A27">
        <v>5</v>
      </c>
      <c r="B27">
        <v>55</v>
      </c>
      <c r="C27">
        <v>1</v>
      </c>
      <c r="D27">
        <v>9.9</v>
      </c>
      <c r="E27">
        <v>0.6</v>
      </c>
      <c r="F27">
        <f t="shared" si="0"/>
        <v>55</v>
      </c>
      <c r="G27">
        <f t="shared" si="1"/>
        <v>40.200000000000003</v>
      </c>
      <c r="H27">
        <f t="shared" si="2"/>
        <v>2.4573246913070408</v>
      </c>
      <c r="I27">
        <f t="shared" si="3"/>
        <v>4.5696000000000014E-2</v>
      </c>
      <c r="J27">
        <v>6.78</v>
      </c>
      <c r="K27">
        <v>2.3498999999999999</v>
      </c>
      <c r="L27">
        <v>0.80359999999999998</v>
      </c>
      <c r="M27">
        <f t="shared" si="4"/>
        <v>124.57159008466202</v>
      </c>
      <c r="T27"/>
      <c r="U27"/>
    </row>
    <row r="28" spans="1:21" x14ac:dyDescent="0.2">
      <c r="A28">
        <v>5</v>
      </c>
      <c r="B28">
        <v>60</v>
      </c>
      <c r="C28">
        <v>1.2</v>
      </c>
      <c r="D28">
        <v>69.900000000000006</v>
      </c>
      <c r="E28">
        <v>1</v>
      </c>
      <c r="F28">
        <f t="shared" si="0"/>
        <v>60</v>
      </c>
      <c r="G28">
        <f t="shared" si="1"/>
        <v>40</v>
      </c>
      <c r="H28">
        <f t="shared" si="2"/>
        <v>2.3782179818887448</v>
      </c>
      <c r="I28">
        <f t="shared" si="3"/>
        <v>4.0000000000000008E-2</v>
      </c>
      <c r="J28">
        <v>6.78</v>
      </c>
      <c r="K28">
        <v>1.9615</v>
      </c>
      <c r="L28">
        <v>0.51859999999999995</v>
      </c>
      <c r="M28">
        <f t="shared" si="4"/>
        <v>161.12589949719245</v>
      </c>
      <c r="T28"/>
      <c r="U28"/>
    </row>
    <row r="29" spans="1:21" x14ac:dyDescent="0.2">
      <c r="A29">
        <v>5</v>
      </c>
      <c r="B29">
        <v>65</v>
      </c>
      <c r="C29">
        <v>1</v>
      </c>
      <c r="D29">
        <v>9.9</v>
      </c>
      <c r="E29">
        <v>1</v>
      </c>
      <c r="F29">
        <f t="shared" si="0"/>
        <v>65</v>
      </c>
      <c r="G29">
        <f t="shared" si="1"/>
        <v>47</v>
      </c>
      <c r="H29">
        <f t="shared" si="2"/>
        <v>2.8621595134665503</v>
      </c>
      <c r="I29">
        <f t="shared" si="3"/>
        <v>5.3760000000000009E-2</v>
      </c>
      <c r="J29">
        <v>6.78</v>
      </c>
      <c r="K29">
        <v>2.7972999999999999</v>
      </c>
      <c r="L29">
        <v>0.84153999999999995</v>
      </c>
      <c r="M29">
        <f t="shared" si="4"/>
        <v>141.60345063636763</v>
      </c>
      <c r="T29"/>
      <c r="U29"/>
    </row>
    <row r="30" spans="1:21" x14ac:dyDescent="0.2">
      <c r="A30">
        <v>5</v>
      </c>
      <c r="B30">
        <v>70</v>
      </c>
      <c r="C30">
        <v>0.4</v>
      </c>
      <c r="D30">
        <v>49.9</v>
      </c>
      <c r="E30">
        <v>0.4</v>
      </c>
      <c r="F30">
        <f t="shared" si="0"/>
        <v>70</v>
      </c>
      <c r="G30">
        <f t="shared" si="1"/>
        <v>62.800000000000004</v>
      </c>
      <c r="H30">
        <f t="shared" si="2"/>
        <v>4.2531703458046923</v>
      </c>
      <c r="I30">
        <f t="shared" si="3"/>
        <v>0.15936000000000006</v>
      </c>
      <c r="J30">
        <v>6.78</v>
      </c>
      <c r="K30">
        <v>4.4965000000000002</v>
      </c>
      <c r="L30">
        <v>2.2783000000000002</v>
      </c>
      <c r="M30">
        <f t="shared" si="4"/>
        <v>84.076232483520172</v>
      </c>
      <c r="T30"/>
      <c r="U30"/>
    </row>
    <row r="31" spans="1:21" x14ac:dyDescent="0.2">
      <c r="A31">
        <v>5</v>
      </c>
      <c r="B31">
        <v>75</v>
      </c>
      <c r="C31">
        <v>0.8</v>
      </c>
      <c r="D31">
        <v>49.9</v>
      </c>
      <c r="E31">
        <v>1</v>
      </c>
      <c r="F31">
        <f t="shared" si="0"/>
        <v>75</v>
      </c>
      <c r="G31">
        <f t="shared" si="1"/>
        <v>59</v>
      </c>
      <c r="H31">
        <f t="shared" si="2"/>
        <v>3.7156277633948664</v>
      </c>
      <c r="I31">
        <f t="shared" si="3"/>
        <v>8.0400000000000013E-2</v>
      </c>
      <c r="J31">
        <v>6.78</v>
      </c>
      <c r="K31">
        <v>3.5009000000000001</v>
      </c>
      <c r="L31">
        <v>1.0051000000000001</v>
      </c>
      <c r="M31">
        <f t="shared" si="4"/>
        <v>148.38157874051376</v>
      </c>
      <c r="T31"/>
      <c r="U31"/>
    </row>
    <row r="32" spans="1:21" x14ac:dyDescent="0.2">
      <c r="A32">
        <v>5</v>
      </c>
      <c r="B32">
        <v>80</v>
      </c>
      <c r="C32">
        <v>1</v>
      </c>
      <c r="D32">
        <v>89.9</v>
      </c>
      <c r="E32">
        <v>0.8</v>
      </c>
      <c r="F32">
        <f t="shared" si="0"/>
        <v>80</v>
      </c>
      <c r="G32">
        <f t="shared" si="1"/>
        <v>63.599999999999994</v>
      </c>
      <c r="H32">
        <f t="shared" si="2"/>
        <v>4.0248868810651262</v>
      </c>
      <c r="I32">
        <f t="shared" si="3"/>
        <v>6.8928000000000003E-2</v>
      </c>
      <c r="J32">
        <v>6.78</v>
      </c>
      <c r="K32">
        <v>3.5184000000000002</v>
      </c>
      <c r="L32">
        <v>1.105</v>
      </c>
      <c r="M32">
        <f t="shared" si="4"/>
        <v>135.64147033128543</v>
      </c>
      <c r="T32"/>
      <c r="U32"/>
    </row>
    <row r="33" spans="1:21" x14ac:dyDescent="0.2">
      <c r="A33">
        <v>6</v>
      </c>
      <c r="B33">
        <v>50</v>
      </c>
      <c r="C33">
        <v>0.4</v>
      </c>
      <c r="D33">
        <v>29.9</v>
      </c>
      <c r="E33">
        <v>0.6</v>
      </c>
      <c r="F33">
        <f t="shared" si="0"/>
        <v>50</v>
      </c>
      <c r="G33">
        <f t="shared" si="1"/>
        <v>39.200000000000003</v>
      </c>
      <c r="H33">
        <f t="shared" si="2"/>
        <v>3.5494509094536761</v>
      </c>
      <c r="I33">
        <f t="shared" si="3"/>
        <v>0.10704000000000001</v>
      </c>
      <c r="J33">
        <v>6.78</v>
      </c>
      <c r="K33">
        <v>3.3942999999999999</v>
      </c>
      <c r="L33">
        <v>1.5874999999999999</v>
      </c>
      <c r="M33">
        <f t="shared" si="4"/>
        <v>91.084828507187908</v>
      </c>
      <c r="T33"/>
      <c r="U33"/>
    </row>
    <row r="34" spans="1:21" x14ac:dyDescent="0.2">
      <c r="A34">
        <v>6</v>
      </c>
      <c r="B34">
        <v>50</v>
      </c>
      <c r="C34">
        <v>0.4</v>
      </c>
      <c r="D34">
        <v>89.9</v>
      </c>
      <c r="E34">
        <v>0.6</v>
      </c>
      <c r="F34">
        <f t="shared" si="0"/>
        <v>50</v>
      </c>
      <c r="G34">
        <f t="shared" si="1"/>
        <v>39.200000000000003</v>
      </c>
      <c r="H34">
        <f t="shared" si="2"/>
        <v>3.5494509094536761</v>
      </c>
      <c r="I34">
        <f t="shared" si="3"/>
        <v>0.10704000000000001</v>
      </c>
      <c r="J34">
        <v>6.78</v>
      </c>
      <c r="K34">
        <v>2.9022000000000001</v>
      </c>
      <c r="L34">
        <v>1.3089</v>
      </c>
      <c r="M34">
        <f t="shared" si="4"/>
        <v>94.4561902306083</v>
      </c>
      <c r="T34"/>
      <c r="U34"/>
    </row>
    <row r="35" spans="1:21" ht="15" customHeight="1" x14ac:dyDescent="0.2">
      <c r="A35">
        <v>6</v>
      </c>
      <c r="B35">
        <v>50</v>
      </c>
      <c r="C35">
        <v>0.4</v>
      </c>
      <c r="D35">
        <v>89.9</v>
      </c>
      <c r="E35">
        <v>0.8</v>
      </c>
      <c r="F35">
        <f t="shared" si="0"/>
        <v>50</v>
      </c>
      <c r="G35">
        <f t="shared" si="1"/>
        <v>37.200000000000003</v>
      </c>
      <c r="H35">
        <f t="shared" si="2"/>
        <v>3.2959792718889176</v>
      </c>
      <c r="I35">
        <f t="shared" si="3"/>
        <v>0.10464000000000001</v>
      </c>
      <c r="J35">
        <v>6.78</v>
      </c>
      <c r="K35">
        <v>2.641</v>
      </c>
      <c r="L35">
        <v>1.1476999999999999</v>
      </c>
      <c r="M35">
        <f t="shared" si="4"/>
        <v>98.027871854575253</v>
      </c>
      <c r="T35"/>
      <c r="U35"/>
    </row>
    <row r="36" spans="1:21" x14ac:dyDescent="0.2">
      <c r="A36">
        <v>6</v>
      </c>
      <c r="B36">
        <v>60</v>
      </c>
      <c r="C36">
        <v>0.4</v>
      </c>
      <c r="D36">
        <v>9.9</v>
      </c>
      <c r="E36">
        <v>0.4</v>
      </c>
      <c r="F36">
        <f t="shared" si="0"/>
        <v>60</v>
      </c>
      <c r="G36">
        <f t="shared" si="1"/>
        <v>51.2</v>
      </c>
      <c r="H36">
        <f t="shared" si="2"/>
        <v>4.8414944265041715</v>
      </c>
      <c r="I36">
        <f t="shared" si="3"/>
        <v>0.13344</v>
      </c>
      <c r="J36">
        <v>6.78</v>
      </c>
      <c r="K36">
        <v>5.6957000000000004</v>
      </c>
      <c r="L36">
        <v>3.1934</v>
      </c>
      <c r="M36">
        <f t="shared" si="4"/>
        <v>75.980708729842561</v>
      </c>
      <c r="T36"/>
      <c r="U36"/>
    </row>
    <row r="37" spans="1:21" x14ac:dyDescent="0.2">
      <c r="A37">
        <v>6</v>
      </c>
      <c r="B37">
        <v>65</v>
      </c>
      <c r="C37">
        <v>1.2</v>
      </c>
      <c r="D37">
        <v>49.9</v>
      </c>
      <c r="E37">
        <v>1</v>
      </c>
      <c r="F37">
        <f t="shared" si="0"/>
        <v>65</v>
      </c>
      <c r="G37">
        <f t="shared" si="1"/>
        <v>40.6</v>
      </c>
      <c r="H37">
        <f t="shared" si="2"/>
        <v>3.4283729994564838</v>
      </c>
      <c r="I37">
        <f t="shared" si="3"/>
        <v>4.224E-2</v>
      </c>
      <c r="J37">
        <v>6.78</v>
      </c>
      <c r="K37">
        <v>3.0985</v>
      </c>
      <c r="L37">
        <v>0.88224999999999998</v>
      </c>
      <c r="M37">
        <f t="shared" si="4"/>
        <v>149.61301959775122</v>
      </c>
      <c r="T37"/>
      <c r="U37"/>
    </row>
    <row r="38" spans="1:21" x14ac:dyDescent="0.2">
      <c r="A38">
        <v>6</v>
      </c>
      <c r="B38">
        <v>70</v>
      </c>
      <c r="C38">
        <v>0.6</v>
      </c>
      <c r="D38">
        <v>9.9</v>
      </c>
      <c r="E38">
        <v>0.6</v>
      </c>
      <c r="F38">
        <f t="shared" si="0"/>
        <v>70</v>
      </c>
      <c r="G38">
        <f t="shared" si="1"/>
        <v>56.8</v>
      </c>
      <c r="H38">
        <f t="shared" si="2"/>
        <v>5.227712817077304</v>
      </c>
      <c r="I38">
        <f t="shared" si="3"/>
        <v>0.10144000000000002</v>
      </c>
      <c r="J38">
        <v>6.78</v>
      </c>
      <c r="K38">
        <v>6.2736000000000001</v>
      </c>
      <c r="L38">
        <v>3.0428999999999999</v>
      </c>
      <c r="M38">
        <f t="shared" si="4"/>
        <v>87.829154013435073</v>
      </c>
      <c r="T38"/>
      <c r="U38"/>
    </row>
    <row r="39" spans="1:21" x14ac:dyDescent="0.2">
      <c r="A39">
        <v>6</v>
      </c>
      <c r="B39">
        <v>70</v>
      </c>
      <c r="C39">
        <v>0.4</v>
      </c>
      <c r="D39">
        <v>49.9</v>
      </c>
      <c r="E39">
        <v>0.4</v>
      </c>
      <c r="F39">
        <f t="shared" si="0"/>
        <v>70</v>
      </c>
      <c r="G39">
        <f t="shared" si="1"/>
        <v>61.2</v>
      </c>
      <c r="H39">
        <f t="shared" si="2"/>
        <v>5.8712752322424366</v>
      </c>
      <c r="I39">
        <f t="shared" si="3"/>
        <v>0.15744000000000002</v>
      </c>
      <c r="J39">
        <v>6.78</v>
      </c>
      <c r="K39">
        <v>6.7918000000000003</v>
      </c>
      <c r="L39">
        <v>4.2210999999999999</v>
      </c>
      <c r="M39">
        <f t="shared" si="4"/>
        <v>68.543898627471719</v>
      </c>
      <c r="T39"/>
      <c r="U39"/>
    </row>
    <row r="40" spans="1:21" x14ac:dyDescent="0.2">
      <c r="A40">
        <v>7</v>
      </c>
      <c r="B40">
        <v>40</v>
      </c>
      <c r="C40">
        <v>0.8</v>
      </c>
      <c r="D40">
        <v>30</v>
      </c>
      <c r="E40">
        <v>0.5</v>
      </c>
      <c r="F40">
        <f t="shared" si="0"/>
        <v>40</v>
      </c>
      <c r="G40">
        <f t="shared" si="1"/>
        <v>22.799999999999997</v>
      </c>
      <c r="H40">
        <f t="shared" si="2"/>
        <v>2.5894542114362764</v>
      </c>
      <c r="I40">
        <f t="shared" si="3"/>
        <v>3.7680000000000005E-2</v>
      </c>
      <c r="J40">
        <v>6.78</v>
      </c>
      <c r="K40">
        <v>2.2886000000000002</v>
      </c>
      <c r="L40">
        <v>0.88000999999999996</v>
      </c>
      <c r="M40">
        <f t="shared" si="4"/>
        <v>110.78777520519267</v>
      </c>
      <c r="T40"/>
      <c r="U40"/>
    </row>
    <row r="41" spans="1:21" x14ac:dyDescent="0.2">
      <c r="A41">
        <v>7</v>
      </c>
      <c r="B41">
        <v>45</v>
      </c>
      <c r="C41">
        <v>1</v>
      </c>
      <c r="D41">
        <v>69.900000000000006</v>
      </c>
      <c r="E41">
        <v>1</v>
      </c>
      <c r="F41">
        <f t="shared" si="0"/>
        <v>45</v>
      </c>
      <c r="G41">
        <f t="shared" si="1"/>
        <v>19</v>
      </c>
      <c r="H41">
        <f t="shared" si="2"/>
        <v>2.1867933453845008</v>
      </c>
      <c r="I41">
        <f t="shared" si="3"/>
        <v>3.0720000000000004E-2</v>
      </c>
      <c r="J41">
        <v>6.78</v>
      </c>
      <c r="K41">
        <v>1.7685999999999999</v>
      </c>
      <c r="L41">
        <v>0.62580999999999998</v>
      </c>
      <c r="M41">
        <f t="shared" si="4"/>
        <v>120.39173601764369</v>
      </c>
      <c r="T41"/>
      <c r="U41"/>
    </row>
    <row r="42" spans="1:21" x14ac:dyDescent="0.2">
      <c r="A42">
        <v>7</v>
      </c>
      <c r="B42">
        <v>50</v>
      </c>
      <c r="C42">
        <v>0.8</v>
      </c>
      <c r="D42">
        <v>89.9</v>
      </c>
      <c r="E42">
        <v>1.2</v>
      </c>
      <c r="F42">
        <f t="shared" si="0"/>
        <v>50</v>
      </c>
      <c r="G42">
        <f t="shared" si="1"/>
        <v>24.4</v>
      </c>
      <c r="H42">
        <f t="shared" si="2"/>
        <v>2.764603649101796</v>
      </c>
      <c r="I42">
        <f t="shared" si="3"/>
        <v>4.4640000000000006E-2</v>
      </c>
      <c r="J42">
        <v>6.78</v>
      </c>
      <c r="K42">
        <v>2.1833999999999998</v>
      </c>
      <c r="L42">
        <v>0.77592000000000005</v>
      </c>
      <c r="M42">
        <f t="shared" si="4"/>
        <v>119.87425316438599</v>
      </c>
      <c r="T42"/>
      <c r="U42"/>
    </row>
    <row r="43" spans="1:21" x14ac:dyDescent="0.2">
      <c r="A43">
        <v>7</v>
      </c>
      <c r="B43">
        <v>55</v>
      </c>
      <c r="C43">
        <v>1.2</v>
      </c>
      <c r="D43">
        <v>9.9</v>
      </c>
      <c r="E43">
        <v>0.8</v>
      </c>
      <c r="F43">
        <f t="shared" si="0"/>
        <v>55</v>
      </c>
      <c r="G43">
        <f t="shared" si="1"/>
        <v>28.6</v>
      </c>
      <c r="H43">
        <f t="shared" si="2"/>
        <v>3.2353350990390042</v>
      </c>
      <c r="I43">
        <f t="shared" si="3"/>
        <v>3.3439999999999998E-2</v>
      </c>
      <c r="J43">
        <v>6.78</v>
      </c>
      <c r="K43">
        <v>3.1640000000000001</v>
      </c>
      <c r="L43">
        <v>1.0865</v>
      </c>
      <c r="M43">
        <f t="shared" si="4"/>
        <v>124.05557869819053</v>
      </c>
      <c r="T43"/>
      <c r="U43"/>
    </row>
    <row r="44" spans="1:21" x14ac:dyDescent="0.2">
      <c r="A44">
        <v>7</v>
      </c>
      <c r="B44">
        <v>55</v>
      </c>
      <c r="C44">
        <v>1.2</v>
      </c>
      <c r="D44">
        <v>9.9</v>
      </c>
      <c r="E44">
        <v>1</v>
      </c>
      <c r="F44">
        <f t="shared" si="0"/>
        <v>55</v>
      </c>
      <c r="G44">
        <f t="shared" si="1"/>
        <v>26.2</v>
      </c>
      <c r="H44">
        <f t="shared" si="2"/>
        <v>2.972947788857744</v>
      </c>
      <c r="I44">
        <f t="shared" si="3"/>
        <v>3.2480000000000009E-2</v>
      </c>
      <c r="J44">
        <v>6.78</v>
      </c>
      <c r="K44">
        <v>2.8702000000000001</v>
      </c>
      <c r="L44">
        <v>1.0416000000000001</v>
      </c>
      <c r="M44">
        <f t="shared" si="4"/>
        <v>117.38720001137789</v>
      </c>
      <c r="T44"/>
      <c r="U44"/>
    </row>
    <row r="45" spans="1:21" x14ac:dyDescent="0.2">
      <c r="A45">
        <v>7</v>
      </c>
      <c r="B45">
        <v>60</v>
      </c>
      <c r="C45">
        <v>1</v>
      </c>
      <c r="D45">
        <v>40</v>
      </c>
      <c r="E45">
        <v>0.7</v>
      </c>
      <c r="F45">
        <f t="shared" si="0"/>
        <v>60</v>
      </c>
      <c r="G45">
        <f t="shared" si="1"/>
        <v>37.6</v>
      </c>
      <c r="H45">
        <f t="shared" si="2"/>
        <v>4.3241191213061878</v>
      </c>
      <c r="I45">
        <f t="shared" si="3"/>
        <v>4.6848000000000008E-2</v>
      </c>
      <c r="J45">
        <v>6.78</v>
      </c>
      <c r="K45">
        <v>4.2053000000000003</v>
      </c>
      <c r="L45">
        <v>1.5207999999999999</v>
      </c>
      <c r="M45">
        <f t="shared" si="4"/>
        <v>117.797055321</v>
      </c>
      <c r="T45"/>
      <c r="U45"/>
    </row>
    <row r="46" spans="1:21" x14ac:dyDescent="0.2">
      <c r="A46">
        <v>7</v>
      </c>
      <c r="B46">
        <v>70</v>
      </c>
      <c r="C46">
        <v>0.8</v>
      </c>
      <c r="D46">
        <v>69.900000000000006</v>
      </c>
      <c r="E46">
        <v>0.6</v>
      </c>
      <c r="F46">
        <f t="shared" si="0"/>
        <v>70</v>
      </c>
      <c r="G46">
        <f t="shared" si="1"/>
        <v>51.6</v>
      </c>
      <c r="H46">
        <f t="shared" si="2"/>
        <v>6.201265482527119</v>
      </c>
      <c r="I46">
        <f t="shared" si="3"/>
        <v>7.2960000000000011E-2</v>
      </c>
      <c r="J46">
        <v>6.78</v>
      </c>
      <c r="K46">
        <v>6.5359999999999996</v>
      </c>
      <c r="L46">
        <v>3.1206999999999998</v>
      </c>
      <c r="M46">
        <f t="shared" si="4"/>
        <v>89.221511714556357</v>
      </c>
      <c r="T46"/>
      <c r="U46"/>
    </row>
    <row r="47" spans="1:21" x14ac:dyDescent="0.2">
      <c r="A47">
        <v>7</v>
      </c>
      <c r="B47">
        <v>80</v>
      </c>
      <c r="C47">
        <v>1</v>
      </c>
      <c r="D47">
        <v>49.9</v>
      </c>
      <c r="E47">
        <v>1</v>
      </c>
      <c r="F47">
        <f t="shared" si="0"/>
        <v>80</v>
      </c>
      <c r="G47">
        <f t="shared" si="1"/>
        <v>54</v>
      </c>
      <c r="H47">
        <f t="shared" si="2"/>
        <v>6.3127025678602786</v>
      </c>
      <c r="I47">
        <f t="shared" si="3"/>
        <v>6.4320000000000016E-2</v>
      </c>
      <c r="J47">
        <v>6.78</v>
      </c>
      <c r="K47">
        <v>6.9462000000000002</v>
      </c>
      <c r="L47">
        <v>2.9068999999999998</v>
      </c>
      <c r="M47">
        <f t="shared" si="4"/>
        <v>101.79507028989894</v>
      </c>
      <c r="T47"/>
      <c r="U47"/>
    </row>
    <row r="48" spans="1:21" x14ac:dyDescent="0.2">
      <c r="A48">
        <v>7</v>
      </c>
      <c r="B48">
        <v>100</v>
      </c>
      <c r="C48">
        <v>0.8</v>
      </c>
      <c r="D48">
        <v>80</v>
      </c>
      <c r="E48">
        <v>0.5</v>
      </c>
      <c r="F48">
        <f t="shared" si="0"/>
        <v>100</v>
      </c>
      <c r="G48">
        <f t="shared" si="1"/>
        <v>82.800000000000011</v>
      </c>
      <c r="H48">
        <f t="shared" si="2"/>
        <v>10.481000473329969</v>
      </c>
      <c r="I48">
        <f t="shared" si="3"/>
        <v>0.10968000000000003</v>
      </c>
      <c r="J48">
        <v>6.78</v>
      </c>
      <c r="K48">
        <v>25.117999999999999</v>
      </c>
      <c r="L48">
        <v>49.35</v>
      </c>
      <c r="M48">
        <f t="shared" si="4"/>
        <v>21.682405083838052</v>
      </c>
      <c r="T48"/>
      <c r="U48"/>
    </row>
    <row r="49" spans="20:21" x14ac:dyDescent="0.2">
      <c r="T49"/>
      <c r="U4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仿真数据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W</dc:creator>
  <cp:lastModifiedBy>yao W</cp:lastModifiedBy>
  <dcterms:created xsi:type="dcterms:W3CDTF">2026-03-20T02:28:55Z</dcterms:created>
  <dcterms:modified xsi:type="dcterms:W3CDTF">2026-04-08T08:45:32Z</dcterms:modified>
</cp:coreProperties>
</file>