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373650AB-356D-4B8F-9F26-4A35FF64C480}" xr6:coauthVersionLast="47" xr6:coauthVersionMax="47" xr10:uidLastSave="{00000000-0000-0000-0000-000000000000}"/>
  <bookViews>
    <workbookView xWindow="-120" yWindow="-120" windowWidth="29040" windowHeight="15720" xr2:uid="{FA28824C-3140-4F26-A808-D5842566BEDC}"/>
  </bookViews>
  <sheets>
    <sheet name="N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2" i="1"/>
  <c r="F3" i="1" l="1"/>
  <c r="H3" i="1"/>
  <c r="F4" i="1"/>
  <c r="H4" i="1"/>
  <c r="I4" i="1"/>
  <c r="F5" i="1"/>
  <c r="H5" i="1"/>
  <c r="F6" i="1"/>
  <c r="H6" i="1"/>
  <c r="I6" i="1"/>
  <c r="F7" i="1"/>
  <c r="H7" i="1"/>
  <c r="I7" i="1"/>
  <c r="F8" i="1"/>
  <c r="H8" i="1"/>
  <c r="I8" i="1"/>
  <c r="F9" i="1"/>
  <c r="H9" i="1"/>
  <c r="F10" i="1"/>
  <c r="H10" i="1"/>
  <c r="I10" i="1"/>
  <c r="F11" i="1"/>
  <c r="H11" i="1"/>
  <c r="I11" i="1"/>
  <c r="F12" i="1"/>
  <c r="H12" i="1"/>
  <c r="I12" i="1"/>
  <c r="F13" i="1"/>
  <c r="H13" i="1"/>
  <c r="F14" i="1"/>
  <c r="H14" i="1"/>
  <c r="F15" i="1"/>
  <c r="H15" i="1"/>
  <c r="I15" i="1"/>
  <c r="F16" i="1"/>
  <c r="H16" i="1"/>
  <c r="I16" i="1"/>
  <c r="F17" i="1"/>
  <c r="H17" i="1"/>
  <c r="F18" i="1"/>
  <c r="H18" i="1"/>
  <c r="I18" i="1"/>
  <c r="F19" i="1"/>
  <c r="H19" i="1"/>
  <c r="I19" i="1"/>
  <c r="F20" i="1"/>
  <c r="H20" i="1"/>
  <c r="I20" i="1"/>
  <c r="F21" i="1"/>
  <c r="H21" i="1"/>
  <c r="F22" i="1"/>
  <c r="H22" i="1"/>
  <c r="I22" i="1"/>
  <c r="F23" i="1"/>
  <c r="H23" i="1"/>
  <c r="I23" i="1"/>
  <c r="F24" i="1"/>
  <c r="H24" i="1"/>
  <c r="I24" i="1"/>
  <c r="F25" i="1"/>
  <c r="H25" i="1"/>
  <c r="F26" i="1"/>
  <c r="H26" i="1"/>
  <c r="I26" i="1"/>
  <c r="F27" i="1"/>
  <c r="H27" i="1"/>
  <c r="I27" i="1"/>
  <c r="F28" i="1"/>
  <c r="H28" i="1"/>
  <c r="I28" i="1"/>
  <c r="F29" i="1"/>
  <c r="H29" i="1"/>
  <c r="F30" i="1"/>
  <c r="H30" i="1"/>
  <c r="F31" i="1"/>
  <c r="H31" i="1"/>
  <c r="I31" i="1"/>
  <c r="F32" i="1"/>
  <c r="H32" i="1"/>
  <c r="F33" i="1"/>
  <c r="H33" i="1"/>
  <c r="F34" i="1"/>
  <c r="H34" i="1"/>
  <c r="I34" i="1"/>
  <c r="F35" i="1"/>
  <c r="H35" i="1"/>
  <c r="I35" i="1"/>
  <c r="F36" i="1"/>
  <c r="H36" i="1"/>
  <c r="I36" i="1"/>
  <c r="F37" i="1"/>
  <c r="H37" i="1"/>
  <c r="F38" i="1"/>
  <c r="H38" i="1"/>
  <c r="I38" i="1"/>
  <c r="F39" i="1"/>
  <c r="H39" i="1"/>
  <c r="I39" i="1"/>
  <c r="F40" i="1"/>
  <c r="H40" i="1"/>
  <c r="I40" i="1"/>
  <c r="F41" i="1"/>
  <c r="H41" i="1"/>
  <c r="F42" i="1"/>
  <c r="H42" i="1"/>
  <c r="I42" i="1"/>
  <c r="F43" i="1"/>
  <c r="H43" i="1"/>
  <c r="F44" i="1"/>
  <c r="H44" i="1"/>
  <c r="I44" i="1"/>
  <c r="F45" i="1"/>
  <c r="H45" i="1"/>
  <c r="F46" i="1"/>
  <c r="H46" i="1"/>
  <c r="I46" i="1"/>
  <c r="F47" i="1"/>
  <c r="H47" i="1"/>
  <c r="F48" i="1"/>
  <c r="H48" i="1"/>
  <c r="I48" i="1"/>
  <c r="F49" i="1"/>
  <c r="H49" i="1"/>
  <c r="F50" i="1"/>
  <c r="H50" i="1"/>
  <c r="F51" i="1"/>
  <c r="H51" i="1"/>
  <c r="F52" i="1"/>
  <c r="H52" i="1"/>
  <c r="F53" i="1"/>
  <c r="H53" i="1"/>
  <c r="F54" i="1"/>
  <c r="H54" i="1"/>
  <c r="I54" i="1"/>
  <c r="F55" i="1"/>
  <c r="H55" i="1"/>
  <c r="F56" i="1"/>
  <c r="H56" i="1"/>
  <c r="F57" i="1"/>
  <c r="H57" i="1"/>
  <c r="F58" i="1"/>
  <c r="H58" i="1"/>
  <c r="I58" i="1"/>
  <c r="F59" i="1"/>
  <c r="H59" i="1"/>
  <c r="F60" i="1"/>
  <c r="H60" i="1"/>
  <c r="F61" i="1"/>
  <c r="H61" i="1"/>
  <c r="F62" i="1"/>
  <c r="H62" i="1"/>
  <c r="I62" i="1"/>
  <c r="F63" i="1"/>
  <c r="H63" i="1"/>
  <c r="F64" i="1"/>
  <c r="H64" i="1"/>
  <c r="F65" i="1"/>
  <c r="H65" i="1"/>
  <c r="F66" i="1"/>
  <c r="H66" i="1"/>
  <c r="I66" i="1"/>
  <c r="F67" i="1"/>
  <c r="H67" i="1"/>
  <c r="F68" i="1"/>
  <c r="H68" i="1"/>
  <c r="F69" i="1"/>
  <c r="H69" i="1"/>
  <c r="F70" i="1"/>
  <c r="H70" i="1"/>
  <c r="I70" i="1"/>
  <c r="F71" i="1"/>
  <c r="H71" i="1"/>
  <c r="F72" i="1"/>
  <c r="H72" i="1"/>
  <c r="F73" i="1"/>
  <c r="H73" i="1"/>
  <c r="F74" i="1"/>
  <c r="H74" i="1"/>
  <c r="I74" i="1"/>
  <c r="F75" i="1"/>
  <c r="H75" i="1"/>
  <c r="F76" i="1"/>
  <c r="H76" i="1"/>
  <c r="F77" i="1"/>
  <c r="H77" i="1"/>
  <c r="F78" i="1"/>
  <c r="I78" i="1"/>
  <c r="H78" i="1"/>
  <c r="F79" i="1"/>
  <c r="H79" i="1"/>
  <c r="F80" i="1"/>
  <c r="H80" i="1"/>
  <c r="F81" i="1"/>
  <c r="H81" i="1"/>
  <c r="F82" i="1"/>
  <c r="H82" i="1"/>
  <c r="F83" i="1"/>
  <c r="H83" i="1"/>
  <c r="F84" i="1"/>
  <c r="H84" i="1"/>
  <c r="F85" i="1"/>
  <c r="H85" i="1"/>
  <c r="F86" i="1"/>
  <c r="I86" i="1" s="1"/>
  <c r="F87" i="1"/>
  <c r="H87" i="1"/>
  <c r="F88" i="1"/>
  <c r="H88" i="1"/>
  <c r="F89" i="1"/>
  <c r="F90" i="1"/>
  <c r="H90" i="1"/>
  <c r="I90" i="1"/>
  <c r="F91" i="1"/>
  <c r="H91" i="1"/>
  <c r="F92" i="1"/>
  <c r="H92" i="1"/>
  <c r="F93" i="1"/>
  <c r="F94" i="1"/>
  <c r="H94" i="1" s="1"/>
  <c r="I94" i="1"/>
  <c r="F95" i="1"/>
  <c r="H95" i="1"/>
  <c r="F96" i="1"/>
  <c r="H96" i="1"/>
  <c r="F97" i="1"/>
  <c r="F98" i="1"/>
  <c r="F99" i="1"/>
  <c r="H99" i="1"/>
  <c r="F100" i="1"/>
  <c r="H100" i="1"/>
  <c r="F101" i="1"/>
  <c r="F102" i="1"/>
  <c r="H102" i="1"/>
  <c r="I102" i="1"/>
  <c r="F103" i="1"/>
  <c r="H103" i="1"/>
  <c r="F104" i="1"/>
  <c r="H104" i="1"/>
  <c r="F105" i="1"/>
  <c r="F106" i="1"/>
  <c r="H106" i="1"/>
  <c r="I106" i="1"/>
  <c r="F107" i="1"/>
  <c r="H107" i="1"/>
  <c r="F108" i="1"/>
  <c r="H108" i="1"/>
  <c r="F109" i="1"/>
  <c r="F110" i="1"/>
  <c r="I110" i="1" s="1"/>
  <c r="H110" i="1"/>
  <c r="F111" i="1"/>
  <c r="H111" i="1"/>
  <c r="F112" i="1"/>
  <c r="H112" i="1"/>
  <c r="F113" i="1"/>
  <c r="F114" i="1"/>
  <c r="H114" i="1"/>
  <c r="F115" i="1"/>
  <c r="H115" i="1"/>
  <c r="F116" i="1"/>
  <c r="H116" i="1"/>
  <c r="F117" i="1"/>
  <c r="F118" i="1"/>
  <c r="H118" i="1" s="1"/>
  <c r="I118" i="1"/>
  <c r="F119" i="1"/>
  <c r="H119" i="1"/>
  <c r="F120" i="1"/>
  <c r="H120" i="1"/>
  <c r="F121" i="1"/>
  <c r="F122" i="1"/>
  <c r="H122" i="1"/>
  <c r="I122" i="1"/>
  <c r="F123" i="1"/>
  <c r="H123" i="1"/>
  <c r="F124" i="1"/>
  <c r="F125" i="1"/>
  <c r="F126" i="1"/>
  <c r="H126" i="1" s="1"/>
  <c r="I126" i="1"/>
  <c r="F127" i="1"/>
  <c r="H127" i="1"/>
  <c r="F128" i="1"/>
  <c r="F129" i="1"/>
  <c r="F130" i="1"/>
  <c r="F131" i="1"/>
  <c r="H131" i="1"/>
  <c r="F132" i="1"/>
  <c r="F133" i="1"/>
  <c r="F134" i="1"/>
  <c r="H134" i="1"/>
  <c r="I134" i="1"/>
  <c r="F135" i="1"/>
  <c r="H135" i="1"/>
  <c r="F136" i="1"/>
  <c r="F137" i="1"/>
  <c r="F138" i="1"/>
  <c r="H138" i="1"/>
  <c r="I138" i="1"/>
  <c r="F139" i="1"/>
  <c r="H139" i="1"/>
  <c r="F140" i="1"/>
  <c r="F141" i="1"/>
  <c r="F142" i="1"/>
  <c r="I142" i="1" s="1"/>
  <c r="H142" i="1"/>
  <c r="F143" i="1"/>
  <c r="H143" i="1"/>
  <c r="F144" i="1"/>
  <c r="F145" i="1"/>
  <c r="F146" i="1"/>
  <c r="H146" i="1"/>
  <c r="F147" i="1"/>
  <c r="H147" i="1"/>
  <c r="F148" i="1"/>
  <c r="F149" i="1"/>
  <c r="F150" i="1"/>
  <c r="H150" i="1" s="1"/>
  <c r="I150" i="1"/>
  <c r="F151" i="1"/>
  <c r="H151" i="1"/>
  <c r="F152" i="1"/>
  <c r="F153" i="1"/>
  <c r="F154" i="1"/>
  <c r="H154" i="1"/>
  <c r="I154" i="1"/>
  <c r="F155" i="1"/>
  <c r="H155" i="1"/>
  <c r="F156" i="1"/>
  <c r="F157" i="1"/>
  <c r="F158" i="1"/>
  <c r="H158" i="1" s="1"/>
  <c r="I158" i="1"/>
  <c r="F159" i="1"/>
  <c r="H159" i="1"/>
  <c r="F160" i="1"/>
  <c r="F161" i="1"/>
  <c r="I161" i="1"/>
  <c r="H161" i="1"/>
  <c r="F162" i="1"/>
  <c r="I162" i="1"/>
  <c r="H162" i="1"/>
  <c r="F163" i="1"/>
  <c r="H163" i="1"/>
  <c r="F164" i="1"/>
  <c r="F165" i="1"/>
  <c r="I165" i="1"/>
  <c r="H165" i="1"/>
  <c r="F166" i="1"/>
  <c r="H166" i="1"/>
  <c r="I166" i="1"/>
  <c r="F167" i="1"/>
  <c r="H167" i="1"/>
  <c r="F168" i="1"/>
  <c r="F169" i="1"/>
  <c r="I169" i="1"/>
  <c r="F170" i="1"/>
  <c r="H170" i="1" s="1"/>
  <c r="F171" i="1"/>
  <c r="H171" i="1"/>
  <c r="F172" i="1"/>
  <c r="F173" i="1"/>
  <c r="I173" i="1"/>
  <c r="F174" i="1"/>
  <c r="H174" i="1" s="1"/>
  <c r="I174" i="1"/>
  <c r="F175" i="1"/>
  <c r="H175" i="1"/>
  <c r="F176" i="1"/>
  <c r="F177" i="1"/>
  <c r="H177" i="1"/>
  <c r="I177" i="1"/>
  <c r="F178" i="1"/>
  <c r="I178" i="1" s="1"/>
  <c r="H178" i="1"/>
  <c r="F179" i="1"/>
  <c r="H179" i="1"/>
  <c r="F180" i="1"/>
  <c r="F181" i="1"/>
  <c r="H181" i="1"/>
  <c r="I181" i="1"/>
  <c r="F182" i="1"/>
  <c r="H182" i="1"/>
  <c r="I182" i="1"/>
  <c r="F183" i="1"/>
  <c r="H183" i="1"/>
  <c r="F184" i="1"/>
  <c r="F185" i="1"/>
  <c r="H185" i="1"/>
  <c r="I185" i="1"/>
  <c r="F186" i="1"/>
  <c r="H186" i="1" s="1"/>
  <c r="I186" i="1"/>
  <c r="F187" i="1"/>
  <c r="H187" i="1"/>
  <c r="F188" i="1"/>
  <c r="F189" i="1"/>
  <c r="I189" i="1"/>
  <c r="H189" i="1"/>
  <c r="F190" i="1"/>
  <c r="H190" i="1" s="1"/>
  <c r="I190" i="1"/>
  <c r="F191" i="1"/>
  <c r="H191" i="1"/>
  <c r="F192" i="1"/>
  <c r="F193" i="1"/>
  <c r="H193" i="1"/>
  <c r="I193" i="1"/>
  <c r="F194" i="1"/>
  <c r="I194" i="1" s="1"/>
  <c r="H194" i="1"/>
  <c r="F195" i="1"/>
  <c r="H195" i="1"/>
  <c r="F196" i="1"/>
  <c r="F197" i="1"/>
  <c r="H197" i="1"/>
  <c r="I197" i="1"/>
  <c r="F198" i="1"/>
  <c r="H198" i="1"/>
  <c r="I198" i="1"/>
  <c r="F199" i="1"/>
  <c r="H199" i="1"/>
  <c r="F200" i="1"/>
  <c r="H200" i="1"/>
  <c r="F201" i="1"/>
  <c r="H201" i="1"/>
  <c r="I201" i="1"/>
  <c r="F202" i="1"/>
  <c r="H202" i="1" s="1"/>
  <c r="F203" i="1"/>
  <c r="F204" i="1"/>
  <c r="H204" i="1"/>
  <c r="I204" i="1"/>
  <c r="F205" i="1"/>
  <c r="H205" i="1"/>
  <c r="I205" i="1"/>
  <c r="F206" i="1"/>
  <c r="H206" i="1"/>
  <c r="I206" i="1"/>
  <c r="F207" i="1"/>
  <c r="F208" i="1"/>
  <c r="H208" i="1"/>
  <c r="F209" i="1"/>
  <c r="H209" i="1"/>
  <c r="I209" i="1"/>
  <c r="F210" i="1"/>
  <c r="H210" i="1" s="1"/>
  <c r="F211" i="1"/>
  <c r="F212" i="1"/>
  <c r="H212" i="1"/>
  <c r="I212" i="1"/>
  <c r="F213" i="1"/>
  <c r="H213" i="1"/>
  <c r="I213" i="1"/>
  <c r="F214" i="1"/>
  <c r="I214" i="1" s="1"/>
  <c r="H214" i="1"/>
  <c r="F215" i="1"/>
  <c r="F216" i="1"/>
  <c r="H216" i="1"/>
  <c r="F217" i="1"/>
  <c r="H217" i="1"/>
  <c r="I217" i="1"/>
  <c r="F218" i="1"/>
  <c r="F219" i="1"/>
  <c r="F220" i="1"/>
  <c r="H220" i="1"/>
  <c r="I220" i="1"/>
  <c r="F221" i="1"/>
  <c r="H221" i="1"/>
  <c r="F222" i="1"/>
  <c r="H222" i="1"/>
  <c r="F223" i="1"/>
  <c r="F224" i="1"/>
  <c r="H224" i="1"/>
  <c r="I224" i="1"/>
  <c r="F225" i="1"/>
  <c r="I225" i="1"/>
  <c r="H225" i="1"/>
  <c r="F226" i="1"/>
  <c r="F227" i="1"/>
  <c r="F228" i="1"/>
  <c r="H228" i="1"/>
  <c r="I228" i="1"/>
  <c r="F229" i="1"/>
  <c r="I229" i="1"/>
  <c r="H229" i="1"/>
  <c r="F230" i="1"/>
  <c r="H230" i="1" s="1"/>
  <c r="I230" i="1"/>
  <c r="F231" i="1"/>
  <c r="F232" i="1"/>
  <c r="H232" i="1"/>
  <c r="F233" i="1"/>
  <c r="H233" i="1"/>
  <c r="I233" i="1"/>
  <c r="F234" i="1"/>
  <c r="H234" i="1" s="1"/>
  <c r="F235" i="1"/>
  <c r="F236" i="1"/>
  <c r="H236" i="1"/>
  <c r="I236" i="1"/>
  <c r="F237" i="1"/>
  <c r="H237" i="1"/>
  <c r="F238" i="1"/>
  <c r="H238" i="1"/>
  <c r="I238" i="1"/>
  <c r="F239" i="1"/>
  <c r="F240" i="1"/>
  <c r="H240" i="1"/>
  <c r="F241" i="1"/>
  <c r="I241" i="1"/>
  <c r="H241" i="1"/>
  <c r="F242" i="1"/>
  <c r="F243" i="1"/>
  <c r="F244" i="1"/>
  <c r="H244" i="1"/>
  <c r="F245" i="1"/>
  <c r="H245" i="1"/>
  <c r="I245" i="1"/>
  <c r="F246" i="1"/>
  <c r="H246" i="1" s="1"/>
  <c r="I246" i="1"/>
  <c r="F247" i="1"/>
  <c r="F248" i="1"/>
  <c r="H248" i="1"/>
  <c r="I248" i="1"/>
  <c r="F249" i="1"/>
  <c r="H249" i="1"/>
  <c r="I249" i="1"/>
  <c r="F250" i="1"/>
  <c r="H250" i="1"/>
  <c r="F251" i="1"/>
  <c r="F252" i="1"/>
  <c r="H252" i="1"/>
  <c r="I252" i="1"/>
  <c r="F253" i="1"/>
  <c r="I253" i="1"/>
  <c r="H253" i="1"/>
  <c r="F254" i="1"/>
  <c r="H254" i="1" s="1"/>
  <c r="I254" i="1"/>
  <c r="F255" i="1"/>
  <c r="F256" i="1"/>
  <c r="H256" i="1"/>
  <c r="F257" i="1"/>
  <c r="H257" i="1"/>
  <c r="I257" i="1"/>
  <c r="F258" i="1"/>
  <c r="F259" i="1"/>
  <c r="F260" i="1"/>
  <c r="H260" i="1"/>
  <c r="I260" i="1"/>
  <c r="F261" i="1"/>
  <c r="H261" i="1"/>
  <c r="I261" i="1"/>
  <c r="F262" i="1"/>
  <c r="I262" i="1" s="1"/>
  <c r="H262" i="1"/>
  <c r="F263" i="1"/>
  <c r="F264" i="1"/>
  <c r="H264" i="1"/>
  <c r="F265" i="1"/>
  <c r="H265" i="1"/>
  <c r="F266" i="1"/>
  <c r="H266" i="1"/>
  <c r="I266" i="1"/>
  <c r="F267" i="1"/>
  <c r="F268" i="1"/>
  <c r="H268" i="1"/>
  <c r="I268" i="1"/>
  <c r="F269" i="1"/>
  <c r="H269" i="1"/>
  <c r="I269" i="1"/>
  <c r="F270" i="1"/>
  <c r="H270" i="1"/>
  <c r="I270" i="1"/>
  <c r="F271" i="1"/>
  <c r="F272" i="1"/>
  <c r="H272" i="1"/>
  <c r="I272" i="1"/>
  <c r="F273" i="1"/>
  <c r="H273" i="1"/>
  <c r="F274" i="1"/>
  <c r="H274" i="1"/>
  <c r="F275" i="1"/>
  <c r="F276" i="1"/>
  <c r="I276" i="1"/>
  <c r="H276" i="1"/>
  <c r="F277" i="1"/>
  <c r="H277" i="1"/>
  <c r="I277" i="1"/>
  <c r="F278" i="1"/>
  <c r="H278" i="1" s="1"/>
  <c r="I278" i="1"/>
  <c r="F279" i="1"/>
  <c r="F280" i="1"/>
  <c r="H280" i="1"/>
  <c r="I280" i="1"/>
  <c r="F281" i="1"/>
  <c r="H281" i="1"/>
  <c r="I281" i="1"/>
  <c r="F282" i="1"/>
  <c r="H282" i="1"/>
  <c r="F283" i="1"/>
  <c r="F284" i="1"/>
  <c r="H284" i="1"/>
  <c r="I284" i="1"/>
  <c r="F285" i="1"/>
  <c r="I285" i="1"/>
  <c r="H285" i="1"/>
  <c r="F286" i="1"/>
  <c r="H286" i="1" s="1"/>
  <c r="I286" i="1"/>
  <c r="F287" i="1"/>
  <c r="F288" i="1"/>
  <c r="H288" i="1"/>
  <c r="F289" i="1"/>
  <c r="H289" i="1"/>
  <c r="I289" i="1"/>
  <c r="F290" i="1"/>
  <c r="F291" i="1"/>
  <c r="F292" i="1"/>
  <c r="H292" i="1"/>
  <c r="I292" i="1"/>
  <c r="F293" i="1"/>
  <c r="H293" i="1"/>
  <c r="I293" i="1"/>
  <c r="F294" i="1"/>
  <c r="I294" i="1" s="1"/>
  <c r="H294" i="1"/>
  <c r="F295" i="1"/>
  <c r="F296" i="1"/>
  <c r="H296" i="1"/>
  <c r="F297" i="1"/>
  <c r="H297" i="1"/>
  <c r="F298" i="1"/>
  <c r="H298" i="1"/>
  <c r="I298" i="1"/>
  <c r="F299" i="1"/>
  <c r="F300" i="1"/>
  <c r="H300" i="1"/>
  <c r="I300" i="1"/>
  <c r="F301" i="1"/>
  <c r="H301" i="1"/>
  <c r="I301" i="1"/>
  <c r="F302" i="1"/>
  <c r="H302" i="1"/>
  <c r="I302" i="1"/>
  <c r="F303" i="1"/>
  <c r="F304" i="1"/>
  <c r="H304" i="1"/>
  <c r="I304" i="1"/>
  <c r="F305" i="1"/>
  <c r="H305" i="1"/>
  <c r="F306" i="1"/>
  <c r="H306" i="1"/>
  <c r="F307" i="1"/>
  <c r="F308" i="1"/>
  <c r="I308" i="1"/>
  <c r="H308" i="1"/>
  <c r="F309" i="1"/>
  <c r="H309" i="1" s="1"/>
  <c r="I309" i="1"/>
  <c r="F310" i="1"/>
  <c r="H310" i="1" s="1"/>
  <c r="I310" i="1"/>
  <c r="F311" i="1"/>
  <c r="F312" i="1"/>
  <c r="H312" i="1"/>
  <c r="I312" i="1"/>
  <c r="F313" i="1"/>
  <c r="F314" i="1"/>
  <c r="H314" i="1"/>
  <c r="F315" i="1"/>
  <c r="F316" i="1"/>
  <c r="H316" i="1"/>
  <c r="I316" i="1"/>
  <c r="F317" i="1"/>
  <c r="I317" i="1" s="1"/>
  <c r="H317" i="1"/>
  <c r="F318" i="1"/>
  <c r="H318" i="1" s="1"/>
  <c r="I318" i="1"/>
  <c r="F319" i="1"/>
  <c r="F320" i="1"/>
  <c r="H320" i="1"/>
  <c r="F321" i="1"/>
  <c r="H321" i="1"/>
  <c r="I321" i="1"/>
  <c r="F322" i="1"/>
  <c r="F323" i="1"/>
  <c r="F324" i="1"/>
  <c r="H324" i="1"/>
  <c r="I324" i="1"/>
  <c r="F325" i="1"/>
  <c r="H325" i="1"/>
  <c r="I325" i="1"/>
  <c r="F326" i="1"/>
  <c r="I326" i="1" s="1"/>
  <c r="H326" i="1"/>
  <c r="F327" i="1"/>
  <c r="F328" i="1"/>
  <c r="H328" i="1"/>
  <c r="F329" i="1"/>
  <c r="H329" i="1"/>
  <c r="F330" i="1"/>
  <c r="H330" i="1"/>
  <c r="I330" i="1"/>
  <c r="F331" i="1"/>
  <c r="F332" i="1"/>
  <c r="H332" i="1"/>
  <c r="I332" i="1"/>
  <c r="F333" i="1"/>
  <c r="H333" i="1" s="1"/>
  <c r="I333" i="1"/>
  <c r="F334" i="1"/>
  <c r="H334" i="1"/>
  <c r="I334" i="1"/>
  <c r="F335" i="1"/>
  <c r="F336" i="1"/>
  <c r="H336" i="1"/>
  <c r="I336" i="1"/>
  <c r="F337" i="1"/>
  <c r="H337" i="1"/>
  <c r="F338" i="1"/>
  <c r="H338" i="1"/>
  <c r="F339" i="1"/>
  <c r="F340" i="1"/>
  <c r="I340" i="1"/>
  <c r="H340" i="1"/>
  <c r="F341" i="1"/>
  <c r="H341" i="1" s="1"/>
  <c r="I341" i="1"/>
  <c r="F342" i="1"/>
  <c r="H342" i="1" s="1"/>
  <c r="I342" i="1"/>
  <c r="F343" i="1"/>
  <c r="I343" i="1"/>
  <c r="F344" i="1"/>
  <c r="H344" i="1"/>
  <c r="I344" i="1"/>
  <c r="F345" i="1"/>
  <c r="H345" i="1" s="1"/>
  <c r="F346" i="1"/>
  <c r="F347" i="1"/>
  <c r="I347" i="1"/>
  <c r="H347" i="1"/>
  <c r="F348" i="1"/>
  <c r="H348" i="1"/>
  <c r="I348" i="1"/>
  <c r="F349" i="1"/>
  <c r="F350" i="1"/>
  <c r="H350" i="1"/>
  <c r="F351" i="1"/>
  <c r="H351" i="1"/>
  <c r="F352" i="1"/>
  <c r="H352" i="1"/>
  <c r="I352" i="1"/>
  <c r="F353" i="1"/>
  <c r="F354" i="1"/>
  <c r="H354" i="1"/>
  <c r="F355" i="1"/>
  <c r="H355" i="1"/>
  <c r="F356" i="1"/>
  <c r="H356" i="1"/>
  <c r="I356" i="1"/>
  <c r="F357" i="1"/>
  <c r="F358" i="1"/>
  <c r="H358" i="1"/>
  <c r="F359" i="1"/>
  <c r="H359" i="1"/>
  <c r="F360" i="1"/>
  <c r="H360" i="1"/>
  <c r="I360" i="1"/>
  <c r="F361" i="1"/>
  <c r="F362" i="1"/>
  <c r="H362" i="1"/>
  <c r="F363" i="1"/>
  <c r="H363" i="1"/>
  <c r="F364" i="1"/>
  <c r="H364" i="1"/>
  <c r="I364" i="1"/>
  <c r="F365" i="1"/>
  <c r="F366" i="1"/>
  <c r="H366" i="1"/>
  <c r="F367" i="1"/>
  <c r="H367" i="1"/>
  <c r="F368" i="1"/>
  <c r="H368" i="1"/>
  <c r="I368" i="1"/>
  <c r="F369" i="1"/>
  <c r="F370" i="1"/>
  <c r="H370" i="1"/>
  <c r="F371" i="1"/>
  <c r="H371" i="1"/>
  <c r="F372" i="1"/>
  <c r="H372" i="1"/>
  <c r="I372" i="1"/>
  <c r="F373" i="1"/>
  <c r="F374" i="1"/>
  <c r="H374" i="1"/>
  <c r="F375" i="1"/>
  <c r="H375" i="1"/>
  <c r="F376" i="1"/>
  <c r="H376" i="1"/>
  <c r="I376" i="1"/>
  <c r="F377" i="1"/>
  <c r="F378" i="1"/>
  <c r="H378" i="1"/>
  <c r="F379" i="1"/>
  <c r="H379" i="1"/>
  <c r="F380" i="1"/>
  <c r="H380" i="1"/>
  <c r="I380" i="1"/>
  <c r="F381" i="1"/>
  <c r="F382" i="1"/>
  <c r="H382" i="1"/>
  <c r="F383" i="1"/>
  <c r="H383" i="1"/>
  <c r="F384" i="1"/>
  <c r="H384" i="1"/>
  <c r="I384" i="1"/>
  <c r="F385" i="1"/>
  <c r="F386" i="1"/>
  <c r="H386" i="1"/>
  <c r="F387" i="1"/>
  <c r="H387" i="1"/>
  <c r="F388" i="1"/>
  <c r="H388" i="1"/>
  <c r="I388" i="1"/>
  <c r="F389" i="1"/>
  <c r="F390" i="1"/>
  <c r="H390" i="1"/>
  <c r="F391" i="1"/>
  <c r="H391" i="1"/>
  <c r="F392" i="1"/>
  <c r="H392" i="1"/>
  <c r="I392" i="1"/>
  <c r="F393" i="1"/>
  <c r="F394" i="1"/>
  <c r="H394" i="1"/>
  <c r="F395" i="1"/>
  <c r="H395" i="1"/>
  <c r="F396" i="1"/>
  <c r="H396" i="1"/>
  <c r="I396" i="1"/>
  <c r="F397" i="1"/>
  <c r="F398" i="1"/>
  <c r="H398" i="1"/>
  <c r="F399" i="1"/>
  <c r="H399" i="1"/>
  <c r="F400" i="1"/>
  <c r="H400" i="1"/>
  <c r="I400" i="1"/>
  <c r="F401" i="1"/>
  <c r="I218" i="1" l="1"/>
  <c r="H218" i="1"/>
  <c r="H219" i="1"/>
  <c r="I219" i="1"/>
  <c r="H97" i="1"/>
  <c r="I97" i="1"/>
  <c r="H339" i="1"/>
  <c r="I339" i="1"/>
  <c r="H307" i="1"/>
  <c r="I307" i="1"/>
  <c r="H275" i="1"/>
  <c r="I275" i="1"/>
  <c r="H223" i="1"/>
  <c r="I223" i="1"/>
  <c r="H188" i="1"/>
  <c r="I188" i="1"/>
  <c r="H160" i="1"/>
  <c r="I160" i="1"/>
  <c r="H141" i="1"/>
  <c r="I141" i="1"/>
  <c r="H128" i="1"/>
  <c r="I128" i="1"/>
  <c r="H109" i="1"/>
  <c r="I109" i="1"/>
  <c r="H335" i="1"/>
  <c r="I335" i="1"/>
  <c r="H271" i="1"/>
  <c r="I271" i="1"/>
  <c r="H148" i="1"/>
  <c r="I148" i="1"/>
  <c r="H243" i="1"/>
  <c r="I243" i="1"/>
  <c r="H172" i="1"/>
  <c r="I172" i="1"/>
  <c r="H343" i="1"/>
  <c r="I242" i="1"/>
  <c r="I208" i="1"/>
  <c r="H203" i="1"/>
  <c r="I203" i="1"/>
  <c r="I399" i="1"/>
  <c r="I395" i="1"/>
  <c r="I391" i="1"/>
  <c r="I387" i="1"/>
  <c r="I383" i="1"/>
  <c r="I379" i="1"/>
  <c r="I375" i="1"/>
  <c r="I371" i="1"/>
  <c r="I367" i="1"/>
  <c r="I363" i="1"/>
  <c r="I359" i="1"/>
  <c r="I355" i="1"/>
  <c r="I351" i="1"/>
  <c r="I329" i="1"/>
  <c r="I320" i="1"/>
  <c r="H311" i="1"/>
  <c r="I311" i="1"/>
  <c r="I306" i="1"/>
  <c r="I297" i="1"/>
  <c r="I288" i="1"/>
  <c r="H279" i="1"/>
  <c r="I279" i="1"/>
  <c r="I274" i="1"/>
  <c r="I265" i="1"/>
  <c r="I256" i="1"/>
  <c r="H247" i="1"/>
  <c r="I247" i="1"/>
  <c r="H242" i="1"/>
  <c r="I237" i="1"/>
  <c r="I222" i="1"/>
  <c r="H153" i="1"/>
  <c r="I153" i="1"/>
  <c r="I146" i="1"/>
  <c r="H140" i="1"/>
  <c r="I140" i="1"/>
  <c r="H121" i="1"/>
  <c r="I121" i="1"/>
  <c r="I114" i="1"/>
  <c r="H89" i="1"/>
  <c r="I89" i="1"/>
  <c r="I82" i="1"/>
  <c r="I50" i="1"/>
  <c r="I338" i="1"/>
  <c r="I232" i="1"/>
  <c r="H227" i="1"/>
  <c r="I227" i="1"/>
  <c r="I202" i="1"/>
  <c r="I170" i="1"/>
  <c r="H283" i="1"/>
  <c r="I283" i="1"/>
  <c r="H251" i="1"/>
  <c r="I251" i="1"/>
  <c r="H207" i="1"/>
  <c r="I207" i="1"/>
  <c r="H192" i="1"/>
  <c r="I192" i="1"/>
  <c r="H176" i="1"/>
  <c r="I176" i="1"/>
  <c r="H152" i="1"/>
  <c r="I152" i="1"/>
  <c r="H133" i="1"/>
  <c r="I133" i="1"/>
  <c r="H101" i="1"/>
  <c r="I101" i="1"/>
  <c r="H303" i="1"/>
  <c r="I303" i="1"/>
  <c r="H129" i="1"/>
  <c r="I129" i="1"/>
  <c r="H315" i="1"/>
  <c r="I315" i="1"/>
  <c r="I346" i="1"/>
  <c r="I226" i="1"/>
  <c r="H164" i="1"/>
  <c r="I164" i="1"/>
  <c r="I398" i="1"/>
  <c r="I394" i="1"/>
  <c r="I390" i="1"/>
  <c r="I386" i="1"/>
  <c r="I382" i="1"/>
  <c r="I378" i="1"/>
  <c r="I374" i="1"/>
  <c r="I370" i="1"/>
  <c r="I366" i="1"/>
  <c r="I362" i="1"/>
  <c r="I358" i="1"/>
  <c r="I354" i="1"/>
  <c r="I350" i="1"/>
  <c r="H346" i="1"/>
  <c r="I337" i="1"/>
  <c r="I328" i="1"/>
  <c r="H319" i="1"/>
  <c r="I319" i="1"/>
  <c r="I314" i="1"/>
  <c r="I305" i="1"/>
  <c r="I296" i="1"/>
  <c r="H287" i="1"/>
  <c r="I287" i="1"/>
  <c r="I282" i="1"/>
  <c r="I273" i="1"/>
  <c r="I264" i="1"/>
  <c r="H255" i="1"/>
  <c r="I255" i="1"/>
  <c r="I250" i="1"/>
  <c r="H231" i="1"/>
  <c r="I231" i="1"/>
  <c r="H226" i="1"/>
  <c r="I221" i="1"/>
  <c r="H145" i="1"/>
  <c r="I145" i="1"/>
  <c r="H132" i="1"/>
  <c r="I132" i="1"/>
  <c r="H113" i="1"/>
  <c r="I113" i="1"/>
  <c r="I216" i="1"/>
  <c r="H211" i="1"/>
  <c r="I211" i="1"/>
  <c r="H169" i="1"/>
  <c r="H323" i="1"/>
  <c r="I323" i="1"/>
  <c r="H291" i="1"/>
  <c r="I291" i="1"/>
  <c r="H259" i="1"/>
  <c r="I259" i="1"/>
  <c r="H196" i="1"/>
  <c r="I196" i="1"/>
  <c r="H180" i="1"/>
  <c r="I180" i="1"/>
  <c r="H157" i="1"/>
  <c r="I157" i="1"/>
  <c r="H144" i="1"/>
  <c r="I144" i="1"/>
  <c r="H125" i="1"/>
  <c r="I125" i="1"/>
  <c r="H93" i="1"/>
  <c r="I93" i="1"/>
  <c r="I345" i="1"/>
  <c r="I240" i="1"/>
  <c r="H235" i="1"/>
  <c r="I235" i="1"/>
  <c r="I210" i="1"/>
  <c r="H86" i="1"/>
  <c r="I401" i="1"/>
  <c r="I397" i="1"/>
  <c r="I393" i="1"/>
  <c r="I389" i="1"/>
  <c r="I385" i="1"/>
  <c r="I381" i="1"/>
  <c r="I377" i="1"/>
  <c r="I373" i="1"/>
  <c r="I369" i="1"/>
  <c r="I365" i="1"/>
  <c r="I361" i="1"/>
  <c r="I357" i="1"/>
  <c r="I353" i="1"/>
  <c r="I349" i="1"/>
  <c r="H327" i="1"/>
  <c r="I327" i="1"/>
  <c r="I322" i="1"/>
  <c r="I313" i="1"/>
  <c r="H295" i="1"/>
  <c r="I295" i="1"/>
  <c r="I290" i="1"/>
  <c r="H263" i="1"/>
  <c r="I263" i="1"/>
  <c r="I258" i="1"/>
  <c r="H215" i="1"/>
  <c r="I215" i="1"/>
  <c r="H168" i="1"/>
  <c r="I168" i="1"/>
  <c r="H156" i="1"/>
  <c r="I156" i="1"/>
  <c r="H137" i="1"/>
  <c r="I137" i="1"/>
  <c r="I130" i="1"/>
  <c r="H124" i="1"/>
  <c r="I124" i="1"/>
  <c r="H105" i="1"/>
  <c r="I105" i="1"/>
  <c r="I98" i="1"/>
  <c r="H401" i="1"/>
  <c r="H397" i="1"/>
  <c r="H393" i="1"/>
  <c r="H389" i="1"/>
  <c r="H385" i="1"/>
  <c r="H381" i="1"/>
  <c r="H377" i="1"/>
  <c r="H373" i="1"/>
  <c r="H369" i="1"/>
  <c r="H365" i="1"/>
  <c r="H361" i="1"/>
  <c r="H357" i="1"/>
  <c r="H353" i="1"/>
  <c r="H349" i="1"/>
  <c r="H322" i="1"/>
  <c r="H313" i="1"/>
  <c r="H290" i="1"/>
  <c r="H258" i="1"/>
  <c r="I234" i="1"/>
  <c r="I200" i="1"/>
  <c r="H130" i="1"/>
  <c r="H98" i="1"/>
  <c r="I30" i="1"/>
  <c r="I14" i="1"/>
  <c r="H331" i="1"/>
  <c r="I331" i="1"/>
  <c r="H299" i="1"/>
  <c r="I299" i="1"/>
  <c r="H267" i="1"/>
  <c r="I267" i="1"/>
  <c r="I244" i="1"/>
  <c r="H239" i="1"/>
  <c r="I239" i="1"/>
  <c r="H184" i="1"/>
  <c r="I184" i="1"/>
  <c r="H173" i="1"/>
  <c r="H149" i="1"/>
  <c r="I149" i="1"/>
  <c r="H136" i="1"/>
  <c r="I136" i="1"/>
  <c r="H117" i="1"/>
  <c r="I117" i="1"/>
  <c r="I85" i="1"/>
  <c r="I81" i="1"/>
  <c r="I77" i="1"/>
  <c r="I73" i="1"/>
  <c r="I69" i="1"/>
  <c r="I65" i="1"/>
  <c r="I61" i="1"/>
  <c r="I57" i="1"/>
  <c r="I53" i="1"/>
  <c r="I49" i="1"/>
  <c r="I45" i="1"/>
  <c r="I41" i="1"/>
  <c r="I37" i="1"/>
  <c r="I33" i="1"/>
  <c r="I29" i="1"/>
  <c r="I25" i="1"/>
  <c r="I21" i="1"/>
  <c r="I17" i="1"/>
  <c r="I13" i="1"/>
  <c r="I9" i="1"/>
  <c r="I5" i="1"/>
  <c r="I120" i="1"/>
  <c r="I116" i="1"/>
  <c r="I112" i="1"/>
  <c r="I108" i="1"/>
  <c r="I104" i="1"/>
  <c r="I100" i="1"/>
  <c r="I96" i="1"/>
  <c r="I92" i="1"/>
  <c r="I88" i="1"/>
  <c r="I84" i="1"/>
  <c r="I80" i="1"/>
  <c r="I76" i="1"/>
  <c r="I72" i="1"/>
  <c r="I68" i="1"/>
  <c r="I64" i="1"/>
  <c r="I60" i="1"/>
  <c r="I56" i="1"/>
  <c r="I52" i="1"/>
  <c r="I32" i="1"/>
  <c r="I199" i="1"/>
  <c r="I195" i="1"/>
  <c r="I191" i="1"/>
  <c r="I187" i="1"/>
  <c r="I183" i="1"/>
  <c r="I179" i="1"/>
  <c r="I175" i="1"/>
  <c r="I171" i="1"/>
  <c r="I167" i="1"/>
  <c r="I163" i="1"/>
  <c r="I159" i="1"/>
  <c r="I155" i="1"/>
  <c r="I151" i="1"/>
  <c r="I147" i="1"/>
  <c r="I143" i="1"/>
  <c r="I139" i="1"/>
  <c r="I135" i="1"/>
  <c r="I131" i="1"/>
  <c r="I127" i="1"/>
  <c r="I123" i="1"/>
  <c r="I119" i="1"/>
  <c r="I115" i="1"/>
  <c r="I111" i="1"/>
  <c r="I107" i="1"/>
  <c r="I103" i="1"/>
  <c r="I99" i="1"/>
  <c r="I95" i="1"/>
  <c r="I91" i="1"/>
  <c r="I87" i="1"/>
  <c r="I83" i="1"/>
  <c r="I79" i="1"/>
  <c r="I75" i="1"/>
  <c r="I71" i="1"/>
  <c r="I67" i="1"/>
  <c r="I63" i="1"/>
  <c r="I59" i="1"/>
  <c r="I55" i="1"/>
  <c r="I51" i="1"/>
  <c r="I47" i="1"/>
  <c r="I43" i="1"/>
  <c r="I3" i="1"/>
  <c r="I2" i="1" l="1"/>
  <c r="H2" i="1"/>
  <c r="F2" i="1"/>
</calcChain>
</file>

<file path=xl/sharedStrings.xml><?xml version="1.0" encoding="utf-8"?>
<sst xmlns="http://schemas.openxmlformats.org/spreadsheetml/2006/main" count="13" uniqueCount="13">
  <si>
    <t>a [mm]</t>
  </si>
  <si>
    <t>d [mm]</t>
  </si>
  <si>
    <t>my_theta [deg]</t>
  </si>
  <si>
    <t>p [mm]</t>
  </si>
  <si>
    <t>Freq [MHz]</t>
  </si>
  <si>
    <t>N</t>
    <phoneticPr fontId="18" type="noConversion"/>
  </si>
  <si>
    <t>d_out [mm]</t>
  </si>
  <si>
    <t>d_in [mm]</t>
  </si>
  <si>
    <t>L_dc [uH]</t>
  </si>
  <si>
    <t>R_dc [Ω]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</si>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</sst>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6F6F7-790E-4566-91BD-167300837F80}">
  <dimension ref="A1:M401"/>
  <sheetViews>
    <sheetView tabSelected="1" topLeftCell="A369" workbookViewId="0">
      <selection activeCell="G2" sqref="G2:G401"/>
    </sheetView>
  </sheetViews>
  <sheetFormatPr defaultRowHeight="14.25" x14ac:dyDescent="0.2"/>
  <sheetData>
    <row r="1" spans="1:13" x14ac:dyDescent="0.2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6</v>
      </c>
      <c r="G1" t="s">
        <v>7</v>
      </c>
      <c r="H1" t="s">
        <v>8</v>
      </c>
      <c r="I1" t="s">
        <v>9</v>
      </c>
      <c r="J1" t="s">
        <v>4</v>
      </c>
      <c r="K1" t="s">
        <v>10</v>
      </c>
      <c r="L1" t="s">
        <v>11</v>
      </c>
      <c r="M1" t="s">
        <v>12</v>
      </c>
    </row>
    <row r="2" spans="1:13" x14ac:dyDescent="0.2">
      <c r="A2">
        <v>7</v>
      </c>
      <c r="B2">
        <v>70</v>
      </c>
      <c r="C2">
        <v>0.4</v>
      </c>
      <c r="D2">
        <v>9.9</v>
      </c>
      <c r="E2">
        <v>0.4</v>
      </c>
      <c r="F2">
        <f>B2</f>
        <v>70</v>
      </c>
      <c r="G2" s="1">
        <f>F2-(A2-1)*2*(C2+E2)-2*C2</f>
        <v>59.6</v>
      </c>
      <c r="H2" s="1">
        <f>2.34*0.000001257*(0.5*A2^2*(F2+G2))/(1+2.73*(F2-G2)/(F2+G2))*1000</f>
        <v>7.6611175437338597</v>
      </c>
      <c r="I2" s="1">
        <f>0.0000000168*4*0.5*(F2+G2)/(0.00007*C2)</f>
        <v>0.15552000000000002</v>
      </c>
      <c r="J2">
        <v>6.78</v>
      </c>
      <c r="K2">
        <v>11.769165360673099</v>
      </c>
      <c r="L2">
        <v>12.0914934274833</v>
      </c>
      <c r="M2">
        <v>41.4643902176905</v>
      </c>
    </row>
    <row r="3" spans="1:13" x14ac:dyDescent="0.2">
      <c r="A3">
        <v>7</v>
      </c>
      <c r="B3">
        <v>70</v>
      </c>
      <c r="C3">
        <v>0.4</v>
      </c>
      <c r="D3">
        <v>9.9</v>
      </c>
      <c r="E3">
        <v>0.8</v>
      </c>
      <c r="F3">
        <f t="shared" ref="F3:F66" si="0">B3</f>
        <v>70</v>
      </c>
      <c r="G3" s="1">
        <f t="shared" ref="G3:G66" si="1">F3-(A3-1)*2*(C3+E3)-2*C3</f>
        <v>54.8</v>
      </c>
      <c r="H3" s="1">
        <f t="shared" ref="H3:H66" si="2">2.34*0.000001257*(0.5*A3^2*(F3+G3))/(1+2.73*(F3-G3)/(F3+G3))*1000</f>
        <v>6.7493909853658529</v>
      </c>
      <c r="I3" s="1">
        <f t="shared" ref="I3:I66" si="3">0.0000000168*4*0.5*(F3+G3)/(0.00007*C3)</f>
        <v>0.14976000000000003</v>
      </c>
      <c r="J3">
        <v>6.78</v>
      </c>
      <c r="K3">
        <v>8.0803336631572193</v>
      </c>
      <c r="L3">
        <v>5.1366753567301799</v>
      </c>
      <c r="M3">
        <v>67.012641624376499</v>
      </c>
    </row>
    <row r="4" spans="1:13" x14ac:dyDescent="0.2">
      <c r="A4">
        <v>7</v>
      </c>
      <c r="B4">
        <v>70</v>
      </c>
      <c r="C4">
        <v>0.4</v>
      </c>
      <c r="D4">
        <v>9.9</v>
      </c>
      <c r="E4">
        <v>1</v>
      </c>
      <c r="F4">
        <f t="shared" si="0"/>
        <v>70</v>
      </c>
      <c r="G4" s="1">
        <f t="shared" si="1"/>
        <v>52.400000000000006</v>
      </c>
      <c r="H4" s="1">
        <f t="shared" si="2"/>
        <v>6.3341471070684321</v>
      </c>
      <c r="I4" s="1">
        <f t="shared" si="3"/>
        <v>0.14688000000000001</v>
      </c>
      <c r="J4">
        <v>6.78</v>
      </c>
      <c r="K4">
        <v>7.1470957456364603</v>
      </c>
      <c r="L4">
        <v>4.0614554546248698</v>
      </c>
      <c r="M4">
        <v>74.964814045679304</v>
      </c>
    </row>
    <row r="5" spans="1:13" x14ac:dyDescent="0.2">
      <c r="A5">
        <v>7</v>
      </c>
      <c r="B5">
        <v>70</v>
      </c>
      <c r="C5">
        <v>0.6</v>
      </c>
      <c r="D5">
        <v>9.9</v>
      </c>
      <c r="E5">
        <v>0.4</v>
      </c>
      <c r="F5">
        <f t="shared" si="0"/>
        <v>70</v>
      </c>
      <c r="G5" s="1">
        <f t="shared" si="1"/>
        <v>56.8</v>
      </c>
      <c r="H5" s="1">
        <f t="shared" si="2"/>
        <v>7.1154980010218862</v>
      </c>
      <c r="I5" s="1">
        <f t="shared" si="3"/>
        <v>0.10144000000000002</v>
      </c>
      <c r="J5">
        <v>6.78</v>
      </c>
      <c r="K5">
        <v>10.5212061672351</v>
      </c>
      <c r="L5">
        <v>9.9595769908334209</v>
      </c>
      <c r="M5">
        <v>45.0022470912307</v>
      </c>
    </row>
    <row r="6" spans="1:13" x14ac:dyDescent="0.2">
      <c r="A6">
        <v>7</v>
      </c>
      <c r="B6">
        <v>70</v>
      </c>
      <c r="C6">
        <v>0.6</v>
      </c>
      <c r="D6">
        <v>9.9</v>
      </c>
      <c r="E6">
        <v>0.6</v>
      </c>
      <c r="F6">
        <f t="shared" si="0"/>
        <v>70</v>
      </c>
      <c r="G6" s="1">
        <f t="shared" si="1"/>
        <v>54.4</v>
      </c>
      <c r="H6" s="1">
        <f t="shared" si="2"/>
        <v>6.6784044525450925</v>
      </c>
      <c r="I6" s="1">
        <f t="shared" si="3"/>
        <v>9.9520000000000011E-2</v>
      </c>
      <c r="J6">
        <v>6.78</v>
      </c>
      <c r="K6">
        <v>8.4313273723066597</v>
      </c>
      <c r="L6">
        <v>5.8169098539779096</v>
      </c>
      <c r="M6">
        <v>61.746618836771503</v>
      </c>
    </row>
    <row r="7" spans="1:13" x14ac:dyDescent="0.2">
      <c r="A7">
        <v>7</v>
      </c>
      <c r="B7">
        <v>70</v>
      </c>
      <c r="C7">
        <v>0.6</v>
      </c>
      <c r="D7">
        <v>9.9</v>
      </c>
      <c r="E7">
        <v>0.8</v>
      </c>
      <c r="F7">
        <f t="shared" si="0"/>
        <v>70</v>
      </c>
      <c r="G7" s="1">
        <f t="shared" si="1"/>
        <v>52</v>
      </c>
      <c r="H7" s="1">
        <f t="shared" si="2"/>
        <v>6.267370270188148</v>
      </c>
      <c r="I7" s="1">
        <f t="shared" si="3"/>
        <v>9.760000000000002E-2</v>
      </c>
      <c r="J7">
        <v>6.78</v>
      </c>
      <c r="K7">
        <v>7.2786201456877802</v>
      </c>
      <c r="L7">
        <v>4.2486605492185001</v>
      </c>
      <c r="M7">
        <v>72.980457790212895</v>
      </c>
    </row>
    <row r="8" spans="1:13" x14ac:dyDescent="0.2">
      <c r="A8">
        <v>7</v>
      </c>
      <c r="B8">
        <v>70</v>
      </c>
      <c r="C8">
        <v>0.6</v>
      </c>
      <c r="D8">
        <v>9.9</v>
      </c>
      <c r="E8">
        <v>1</v>
      </c>
      <c r="F8">
        <f t="shared" si="0"/>
        <v>70</v>
      </c>
      <c r="G8" s="1">
        <f t="shared" si="1"/>
        <v>49.599999999999994</v>
      </c>
      <c r="H8" s="1">
        <f t="shared" si="2"/>
        <v>5.8805437124888744</v>
      </c>
      <c r="I8" s="1">
        <f t="shared" si="3"/>
        <v>9.5680000000000015E-2</v>
      </c>
      <c r="J8">
        <v>6.78</v>
      </c>
      <c r="K8">
        <v>6.4709972940800302</v>
      </c>
      <c r="L8">
        <v>3.2860510445592799</v>
      </c>
      <c r="M8">
        <v>83.889281566865506</v>
      </c>
    </row>
    <row r="9" spans="1:13" x14ac:dyDescent="0.2">
      <c r="A9">
        <v>7</v>
      </c>
      <c r="B9">
        <v>70</v>
      </c>
      <c r="C9">
        <v>0.8</v>
      </c>
      <c r="D9">
        <v>9.9</v>
      </c>
      <c r="E9">
        <v>0.4</v>
      </c>
      <c r="F9">
        <f t="shared" si="0"/>
        <v>70</v>
      </c>
      <c r="G9" s="1">
        <f t="shared" si="1"/>
        <v>53.999999999999993</v>
      </c>
      <c r="H9" s="1">
        <f t="shared" si="2"/>
        <v>6.608141355916028</v>
      </c>
      <c r="I9" s="1">
        <f t="shared" si="3"/>
        <v>7.4400000000000008E-2</v>
      </c>
      <c r="J9">
        <v>6.78</v>
      </c>
      <c r="K9">
        <v>9.2631164206060603</v>
      </c>
      <c r="L9">
        <v>8.1276065040633192</v>
      </c>
      <c r="M9">
        <v>48.551652422254698</v>
      </c>
    </row>
    <row r="10" spans="1:13" x14ac:dyDescent="0.2">
      <c r="A10">
        <v>7</v>
      </c>
      <c r="B10">
        <v>70</v>
      </c>
      <c r="C10">
        <v>0.8</v>
      </c>
      <c r="D10">
        <v>9.9</v>
      </c>
      <c r="E10">
        <v>0.6</v>
      </c>
      <c r="F10">
        <f t="shared" si="0"/>
        <v>70</v>
      </c>
      <c r="G10" s="1">
        <f t="shared" si="1"/>
        <v>51.6</v>
      </c>
      <c r="H10" s="1">
        <f t="shared" si="2"/>
        <v>6.201265482527119</v>
      </c>
      <c r="I10" s="1">
        <f t="shared" si="3"/>
        <v>7.2960000000000011E-2</v>
      </c>
      <c r="J10">
        <v>6.78</v>
      </c>
      <c r="K10">
        <v>7.6128939292664901</v>
      </c>
      <c r="L10">
        <v>4.9452246583528403</v>
      </c>
      <c r="M10">
        <v>65.580287298106697</v>
      </c>
    </row>
    <row r="11" spans="1:13" x14ac:dyDescent="0.2">
      <c r="A11">
        <v>7</v>
      </c>
      <c r="B11">
        <v>70</v>
      </c>
      <c r="C11">
        <v>0.8</v>
      </c>
      <c r="D11">
        <v>9.9</v>
      </c>
      <c r="E11">
        <v>0.8</v>
      </c>
      <c r="F11">
        <f t="shared" si="0"/>
        <v>70</v>
      </c>
      <c r="G11" s="1">
        <f t="shared" si="1"/>
        <v>49.199999999999996</v>
      </c>
      <c r="H11" s="1">
        <f t="shared" si="2"/>
        <v>5.8183058307482485</v>
      </c>
      <c r="I11" s="1">
        <f t="shared" si="3"/>
        <v>7.152E-2</v>
      </c>
      <c r="J11">
        <v>6.78</v>
      </c>
      <c r="K11">
        <v>6.5721046269068504</v>
      </c>
      <c r="L11">
        <v>3.46580170166864</v>
      </c>
      <c r="M11">
        <v>80.781203724960804</v>
      </c>
    </row>
    <row r="12" spans="1:13" x14ac:dyDescent="0.2">
      <c r="A12">
        <v>7</v>
      </c>
      <c r="B12">
        <v>70</v>
      </c>
      <c r="C12">
        <v>0.8</v>
      </c>
      <c r="D12">
        <v>9.9</v>
      </c>
      <c r="E12">
        <v>1</v>
      </c>
      <c r="F12">
        <f t="shared" si="0"/>
        <v>70</v>
      </c>
      <c r="G12" s="1">
        <f t="shared" si="1"/>
        <v>46.8</v>
      </c>
      <c r="H12" s="1">
        <f t="shared" si="2"/>
        <v>5.4576086475462979</v>
      </c>
      <c r="I12" s="1">
        <f t="shared" si="3"/>
        <v>7.0080000000000017E-2</v>
      </c>
      <c r="J12">
        <v>6.78</v>
      </c>
      <c r="K12">
        <v>5.8958641112339603</v>
      </c>
      <c r="L12">
        <v>2.7013364546611198</v>
      </c>
      <c r="M12">
        <v>92.977603503608407</v>
      </c>
    </row>
    <row r="13" spans="1:13" x14ac:dyDescent="0.2">
      <c r="A13">
        <v>7</v>
      </c>
      <c r="B13">
        <v>70</v>
      </c>
      <c r="C13">
        <v>1</v>
      </c>
      <c r="D13">
        <v>9.9</v>
      </c>
      <c r="E13">
        <v>0.4</v>
      </c>
      <c r="F13">
        <f t="shared" si="0"/>
        <v>70</v>
      </c>
      <c r="G13" s="1">
        <f t="shared" si="1"/>
        <v>51.2</v>
      </c>
      <c r="H13" s="1">
        <f t="shared" si="2"/>
        <v>6.1358246572442106</v>
      </c>
      <c r="I13" s="1">
        <f t="shared" si="3"/>
        <v>5.8176000000000012E-2</v>
      </c>
      <c r="J13">
        <v>6.78</v>
      </c>
      <c r="K13">
        <v>8.3079240064581299</v>
      </c>
      <c r="L13">
        <v>6.6141477532095703</v>
      </c>
      <c r="M13">
        <v>53.5091663851832</v>
      </c>
    </row>
    <row r="14" spans="1:13" x14ac:dyDescent="0.2">
      <c r="A14">
        <v>7</v>
      </c>
      <c r="B14">
        <v>70</v>
      </c>
      <c r="C14">
        <v>1</v>
      </c>
      <c r="D14">
        <v>9.9</v>
      </c>
      <c r="E14">
        <v>0.6</v>
      </c>
      <c r="F14">
        <f t="shared" si="0"/>
        <v>70</v>
      </c>
      <c r="G14" s="1">
        <f t="shared" si="1"/>
        <v>48.8</v>
      </c>
      <c r="H14" s="1">
        <f t="shared" si="2"/>
        <v>5.7566860162466886</v>
      </c>
      <c r="I14" s="1">
        <f t="shared" si="3"/>
        <v>5.7024000000000012E-2</v>
      </c>
      <c r="J14">
        <v>6.78</v>
      </c>
      <c r="K14">
        <v>6.8538119076672803</v>
      </c>
      <c r="L14">
        <v>4.0918874873920297</v>
      </c>
      <c r="M14">
        <v>71.353956670071597</v>
      </c>
    </row>
    <row r="15" spans="1:13" x14ac:dyDescent="0.2">
      <c r="A15">
        <v>7</v>
      </c>
      <c r="B15">
        <v>70</v>
      </c>
      <c r="C15">
        <v>1</v>
      </c>
      <c r="D15">
        <v>9.9</v>
      </c>
      <c r="E15">
        <v>0.8</v>
      </c>
      <c r="F15">
        <f t="shared" si="0"/>
        <v>70</v>
      </c>
      <c r="G15" s="1">
        <f t="shared" si="1"/>
        <v>46.4</v>
      </c>
      <c r="H15" s="1">
        <f t="shared" si="2"/>
        <v>5.3995491800915785</v>
      </c>
      <c r="I15" s="1">
        <f t="shared" si="3"/>
        <v>5.5872000000000012E-2</v>
      </c>
      <c r="J15">
        <v>6.78</v>
      </c>
      <c r="K15">
        <v>5.9837820950454796</v>
      </c>
      <c r="L15">
        <v>2.82064273983808</v>
      </c>
      <c r="M15">
        <v>90.372698393665203</v>
      </c>
    </row>
    <row r="16" spans="1:13" x14ac:dyDescent="0.2">
      <c r="A16">
        <v>7</v>
      </c>
      <c r="B16">
        <v>70</v>
      </c>
      <c r="C16">
        <v>1</v>
      </c>
      <c r="D16">
        <v>9.9</v>
      </c>
      <c r="E16">
        <v>1</v>
      </c>
      <c r="F16">
        <f t="shared" si="0"/>
        <v>70</v>
      </c>
      <c r="G16" s="1">
        <f t="shared" si="1"/>
        <v>44</v>
      </c>
      <c r="H16" s="1">
        <f t="shared" si="2"/>
        <v>5.0629326130392478</v>
      </c>
      <c r="I16" s="1">
        <f t="shared" si="3"/>
        <v>5.4720000000000012E-2</v>
      </c>
      <c r="J16">
        <v>6.78</v>
      </c>
      <c r="K16">
        <v>5.3566149742755602</v>
      </c>
      <c r="L16">
        <v>2.3043307757161</v>
      </c>
      <c r="M16">
        <v>99.027353595371906</v>
      </c>
    </row>
    <row r="17" spans="1:13" x14ac:dyDescent="0.2">
      <c r="A17">
        <v>7</v>
      </c>
      <c r="B17">
        <v>70</v>
      </c>
      <c r="C17">
        <v>0.4</v>
      </c>
      <c r="D17">
        <v>29.9</v>
      </c>
      <c r="E17">
        <v>0.4</v>
      </c>
      <c r="F17">
        <f t="shared" si="0"/>
        <v>70</v>
      </c>
      <c r="G17" s="1">
        <f t="shared" si="1"/>
        <v>59.6</v>
      </c>
      <c r="H17" s="1">
        <f t="shared" si="2"/>
        <v>7.6611175437338597</v>
      </c>
      <c r="I17" s="1">
        <f t="shared" si="3"/>
        <v>0.15552000000000002</v>
      </c>
      <c r="J17">
        <v>6.78</v>
      </c>
      <c r="K17">
        <v>10.603540419577801</v>
      </c>
      <c r="L17">
        <v>9.3282110969466796</v>
      </c>
      <c r="M17">
        <v>48.424159661807202</v>
      </c>
    </row>
    <row r="18" spans="1:13" x14ac:dyDescent="0.2">
      <c r="A18">
        <v>7</v>
      </c>
      <c r="B18">
        <v>70</v>
      </c>
      <c r="C18">
        <v>0.4</v>
      </c>
      <c r="D18">
        <v>29.9</v>
      </c>
      <c r="E18">
        <v>0.6</v>
      </c>
      <c r="F18">
        <f t="shared" si="0"/>
        <v>70</v>
      </c>
      <c r="G18" s="1">
        <f t="shared" si="1"/>
        <v>57.2</v>
      </c>
      <c r="H18" s="1">
        <f t="shared" si="2"/>
        <v>7.1910210404973354</v>
      </c>
      <c r="I18" s="1">
        <f t="shared" si="3"/>
        <v>0.15264000000000003</v>
      </c>
      <c r="J18">
        <v>6.78</v>
      </c>
      <c r="K18">
        <v>8.6659503780439309</v>
      </c>
      <c r="L18">
        <v>5.78325930862158</v>
      </c>
      <c r="M18">
        <v>63.8341521720778</v>
      </c>
    </row>
    <row r="19" spans="1:13" x14ac:dyDescent="0.2">
      <c r="A19">
        <v>7</v>
      </c>
      <c r="B19">
        <v>70</v>
      </c>
      <c r="C19">
        <v>0.4</v>
      </c>
      <c r="D19">
        <v>29.9</v>
      </c>
      <c r="E19">
        <v>0.8</v>
      </c>
      <c r="F19">
        <f t="shared" si="0"/>
        <v>70</v>
      </c>
      <c r="G19" s="1">
        <f t="shared" si="1"/>
        <v>54.8</v>
      </c>
      <c r="H19" s="1">
        <f t="shared" si="2"/>
        <v>6.7493909853658529</v>
      </c>
      <c r="I19" s="1">
        <f t="shared" si="3"/>
        <v>0.14976000000000003</v>
      </c>
      <c r="J19">
        <v>6.78</v>
      </c>
      <c r="K19">
        <v>7.4808767529553899</v>
      </c>
      <c r="L19">
        <v>4.2676983842108402</v>
      </c>
      <c r="M19">
        <v>74.673815702204493</v>
      </c>
    </row>
    <row r="20" spans="1:13" x14ac:dyDescent="0.2">
      <c r="A20">
        <v>7</v>
      </c>
      <c r="B20">
        <v>70</v>
      </c>
      <c r="C20">
        <v>0.4</v>
      </c>
      <c r="D20">
        <v>29.9</v>
      </c>
      <c r="E20">
        <v>1</v>
      </c>
      <c r="F20">
        <f t="shared" si="0"/>
        <v>70</v>
      </c>
      <c r="G20" s="1">
        <f t="shared" si="1"/>
        <v>52.400000000000006</v>
      </c>
      <c r="H20" s="1">
        <f t="shared" si="2"/>
        <v>6.3341471070684321</v>
      </c>
      <c r="I20" s="1">
        <f t="shared" si="3"/>
        <v>0.14688000000000001</v>
      </c>
      <c r="J20">
        <v>6.78</v>
      </c>
      <c r="K20">
        <v>6.6358990405296296</v>
      </c>
      <c r="L20">
        <v>3.4858292955883599</v>
      </c>
      <c r="M20">
        <v>81.096706450928494</v>
      </c>
    </row>
    <row r="21" spans="1:13" x14ac:dyDescent="0.2">
      <c r="A21">
        <v>7</v>
      </c>
      <c r="B21">
        <v>70</v>
      </c>
      <c r="C21">
        <v>0.6</v>
      </c>
      <c r="D21">
        <v>29.9</v>
      </c>
      <c r="E21">
        <v>0.4</v>
      </c>
      <c r="F21">
        <f t="shared" si="0"/>
        <v>70</v>
      </c>
      <c r="G21" s="1">
        <f t="shared" si="1"/>
        <v>56.8</v>
      </c>
      <c r="H21" s="1">
        <f t="shared" si="2"/>
        <v>7.1154980010218862</v>
      </c>
      <c r="I21" s="1">
        <f t="shared" si="3"/>
        <v>0.10144000000000002</v>
      </c>
      <c r="J21">
        <v>6.78</v>
      </c>
      <c r="K21">
        <v>9.5128760306893199</v>
      </c>
      <c r="L21">
        <v>7.8653832125785303</v>
      </c>
      <c r="M21">
        <v>51.523043892907999</v>
      </c>
    </row>
    <row r="22" spans="1:13" x14ac:dyDescent="0.2">
      <c r="A22">
        <v>7</v>
      </c>
      <c r="B22">
        <v>70</v>
      </c>
      <c r="C22">
        <v>0.6</v>
      </c>
      <c r="D22">
        <v>29.9</v>
      </c>
      <c r="E22">
        <v>0.6</v>
      </c>
      <c r="F22">
        <f t="shared" si="0"/>
        <v>70</v>
      </c>
      <c r="G22" s="1">
        <f t="shared" si="1"/>
        <v>54.4</v>
      </c>
      <c r="H22" s="1">
        <f t="shared" si="2"/>
        <v>6.6784044525450925</v>
      </c>
      <c r="I22" s="1">
        <f t="shared" si="3"/>
        <v>9.9520000000000011E-2</v>
      </c>
      <c r="J22">
        <v>6.78</v>
      </c>
      <c r="K22">
        <v>7.8238775067878796</v>
      </c>
      <c r="L22">
        <v>4.72351910018374</v>
      </c>
      <c r="M22">
        <v>70.561195248413796</v>
      </c>
    </row>
    <row r="23" spans="1:13" x14ac:dyDescent="0.2">
      <c r="A23">
        <v>7</v>
      </c>
      <c r="B23">
        <v>70</v>
      </c>
      <c r="C23">
        <v>0.6</v>
      </c>
      <c r="D23">
        <v>29.9</v>
      </c>
      <c r="E23">
        <v>0.8</v>
      </c>
      <c r="F23">
        <f t="shared" si="0"/>
        <v>70</v>
      </c>
      <c r="G23" s="1">
        <f t="shared" si="1"/>
        <v>52</v>
      </c>
      <c r="H23" s="1">
        <f t="shared" si="2"/>
        <v>6.267370270188148</v>
      </c>
      <c r="I23" s="1">
        <f t="shared" si="3"/>
        <v>9.760000000000002E-2</v>
      </c>
      <c r="J23">
        <v>6.78</v>
      </c>
      <c r="K23">
        <v>6.8275073775693604</v>
      </c>
      <c r="L23">
        <v>3.5749037458355302</v>
      </c>
      <c r="M23">
        <v>81.359334478859097</v>
      </c>
    </row>
    <row r="24" spans="1:13" x14ac:dyDescent="0.2">
      <c r="A24">
        <v>7</v>
      </c>
      <c r="B24">
        <v>70</v>
      </c>
      <c r="C24">
        <v>0.6</v>
      </c>
      <c r="D24">
        <v>29.9</v>
      </c>
      <c r="E24">
        <v>1</v>
      </c>
      <c r="F24">
        <f t="shared" si="0"/>
        <v>70</v>
      </c>
      <c r="G24" s="1">
        <f t="shared" si="1"/>
        <v>49.599999999999994</v>
      </c>
      <c r="H24" s="1">
        <f t="shared" si="2"/>
        <v>5.8805437124888744</v>
      </c>
      <c r="I24" s="1">
        <f t="shared" si="3"/>
        <v>9.5680000000000015E-2</v>
      </c>
      <c r="J24">
        <v>6.78</v>
      </c>
      <c r="K24">
        <v>6.0871293513611704</v>
      </c>
      <c r="L24">
        <v>2.74749838425863</v>
      </c>
      <c r="M24">
        <v>94.381015775864796</v>
      </c>
    </row>
    <row r="25" spans="1:13" x14ac:dyDescent="0.2">
      <c r="A25">
        <v>7</v>
      </c>
      <c r="B25">
        <v>70</v>
      </c>
      <c r="C25">
        <v>0.8</v>
      </c>
      <c r="D25">
        <v>29.9</v>
      </c>
      <c r="E25">
        <v>0.4</v>
      </c>
      <c r="F25">
        <f t="shared" si="0"/>
        <v>70</v>
      </c>
      <c r="G25" s="1">
        <f t="shared" si="1"/>
        <v>53.999999999999993</v>
      </c>
      <c r="H25" s="1">
        <f t="shared" si="2"/>
        <v>6.608141355916028</v>
      </c>
      <c r="I25" s="1">
        <f t="shared" si="3"/>
        <v>7.4400000000000008E-2</v>
      </c>
      <c r="J25">
        <v>6.78</v>
      </c>
      <c r="K25">
        <v>8.5060781550806492</v>
      </c>
      <c r="L25">
        <v>6.4191978857905498</v>
      </c>
      <c r="M25">
        <v>56.449248813363603</v>
      </c>
    </row>
    <row r="26" spans="1:13" x14ac:dyDescent="0.2">
      <c r="A26">
        <v>7</v>
      </c>
      <c r="B26">
        <v>70</v>
      </c>
      <c r="C26">
        <v>0.8</v>
      </c>
      <c r="D26">
        <v>29.9</v>
      </c>
      <c r="E26">
        <v>0.6</v>
      </c>
      <c r="F26">
        <f t="shared" si="0"/>
        <v>70</v>
      </c>
      <c r="G26" s="1">
        <f t="shared" si="1"/>
        <v>51.6</v>
      </c>
      <c r="H26" s="1">
        <f t="shared" si="2"/>
        <v>6.201265482527119</v>
      </c>
      <c r="I26" s="1">
        <f t="shared" si="3"/>
        <v>7.2960000000000011E-2</v>
      </c>
      <c r="J26">
        <v>6.78</v>
      </c>
      <c r="K26">
        <v>7.0686786935091996</v>
      </c>
      <c r="L26">
        <v>3.9723573595634201</v>
      </c>
      <c r="M26">
        <v>75.805286261278695</v>
      </c>
    </row>
    <row r="27" spans="1:13" x14ac:dyDescent="0.2">
      <c r="A27">
        <v>7</v>
      </c>
      <c r="B27">
        <v>70</v>
      </c>
      <c r="C27">
        <v>0.8</v>
      </c>
      <c r="D27">
        <v>29.9</v>
      </c>
      <c r="E27">
        <v>0.8</v>
      </c>
      <c r="F27">
        <f t="shared" si="0"/>
        <v>70</v>
      </c>
      <c r="G27" s="1">
        <f t="shared" si="1"/>
        <v>49.199999999999996</v>
      </c>
      <c r="H27" s="1">
        <f t="shared" si="2"/>
        <v>5.8183058307482485</v>
      </c>
      <c r="I27" s="1">
        <f t="shared" si="3"/>
        <v>7.152E-2</v>
      </c>
      <c r="J27">
        <v>6.78</v>
      </c>
      <c r="K27">
        <v>6.16799215024683</v>
      </c>
      <c r="L27">
        <v>2.9742702326386201</v>
      </c>
      <c r="M27">
        <v>88.3431641165283</v>
      </c>
    </row>
    <row r="28" spans="1:13" x14ac:dyDescent="0.2">
      <c r="A28">
        <v>7</v>
      </c>
      <c r="B28">
        <v>70</v>
      </c>
      <c r="C28">
        <v>0.8</v>
      </c>
      <c r="D28">
        <v>29.9</v>
      </c>
      <c r="E28">
        <v>1</v>
      </c>
      <c r="F28">
        <f t="shared" si="0"/>
        <v>70</v>
      </c>
      <c r="G28" s="1">
        <f t="shared" si="1"/>
        <v>46.8</v>
      </c>
      <c r="H28" s="1">
        <f t="shared" si="2"/>
        <v>5.4576086475462979</v>
      </c>
      <c r="I28" s="1">
        <f t="shared" si="3"/>
        <v>7.0080000000000017E-2</v>
      </c>
      <c r="J28">
        <v>6.78</v>
      </c>
      <c r="K28">
        <v>5.5514121203707099</v>
      </c>
      <c r="L28">
        <v>2.35230078087563</v>
      </c>
      <c r="M28">
        <v>100.53567051000699</v>
      </c>
    </row>
    <row r="29" spans="1:13" x14ac:dyDescent="0.2">
      <c r="A29">
        <v>7</v>
      </c>
      <c r="B29">
        <v>70</v>
      </c>
      <c r="C29">
        <v>1</v>
      </c>
      <c r="D29">
        <v>29.9</v>
      </c>
      <c r="E29">
        <v>0.4</v>
      </c>
      <c r="F29">
        <f t="shared" si="0"/>
        <v>70</v>
      </c>
      <c r="G29" s="1">
        <f t="shared" si="1"/>
        <v>51.2</v>
      </c>
      <c r="H29" s="1">
        <f t="shared" si="2"/>
        <v>6.1358246572442106</v>
      </c>
      <c r="I29" s="1">
        <f t="shared" si="3"/>
        <v>5.8176000000000012E-2</v>
      </c>
      <c r="J29">
        <v>6.78</v>
      </c>
      <c r="K29">
        <v>7.5265378476795801</v>
      </c>
      <c r="L29">
        <v>5.29713822088463</v>
      </c>
      <c r="M29">
        <v>60.5290010785655</v>
      </c>
    </row>
    <row r="30" spans="1:13" x14ac:dyDescent="0.2">
      <c r="A30">
        <v>7</v>
      </c>
      <c r="B30">
        <v>70</v>
      </c>
      <c r="C30">
        <v>1</v>
      </c>
      <c r="D30">
        <v>29.9</v>
      </c>
      <c r="E30">
        <v>0.6</v>
      </c>
      <c r="F30">
        <f t="shared" si="0"/>
        <v>70</v>
      </c>
      <c r="G30" s="1">
        <f t="shared" si="1"/>
        <v>48.8</v>
      </c>
      <c r="H30" s="1">
        <f t="shared" si="2"/>
        <v>5.7566860162466886</v>
      </c>
      <c r="I30" s="1">
        <f t="shared" si="3"/>
        <v>5.7024000000000012E-2</v>
      </c>
      <c r="J30">
        <v>6.78</v>
      </c>
      <c r="K30">
        <v>6.3443676849263504</v>
      </c>
      <c r="L30">
        <v>3.42753073884449</v>
      </c>
      <c r="M30">
        <v>78.852696305607594</v>
      </c>
    </row>
    <row r="31" spans="1:13" x14ac:dyDescent="0.2">
      <c r="A31">
        <v>7</v>
      </c>
      <c r="B31">
        <v>70</v>
      </c>
      <c r="C31">
        <v>1</v>
      </c>
      <c r="D31">
        <v>29.9</v>
      </c>
      <c r="E31">
        <v>0.8</v>
      </c>
      <c r="F31">
        <f t="shared" si="0"/>
        <v>70</v>
      </c>
      <c r="G31" s="1">
        <f t="shared" si="1"/>
        <v>46.4</v>
      </c>
      <c r="H31" s="1">
        <f t="shared" si="2"/>
        <v>5.3995491800915785</v>
      </c>
      <c r="I31" s="1">
        <f t="shared" si="3"/>
        <v>5.5872000000000012E-2</v>
      </c>
      <c r="J31">
        <v>6.78</v>
      </c>
      <c r="K31">
        <v>5.6121659917413398</v>
      </c>
      <c r="L31">
        <v>2.4791890406952</v>
      </c>
      <c r="M31">
        <v>96.434054451985901</v>
      </c>
    </row>
    <row r="32" spans="1:13" x14ac:dyDescent="0.2">
      <c r="A32">
        <v>7</v>
      </c>
      <c r="B32">
        <v>70</v>
      </c>
      <c r="C32">
        <v>1</v>
      </c>
      <c r="D32">
        <v>29.9</v>
      </c>
      <c r="E32">
        <v>1</v>
      </c>
      <c r="F32">
        <f t="shared" si="0"/>
        <v>70</v>
      </c>
      <c r="G32" s="1">
        <f t="shared" si="1"/>
        <v>44</v>
      </c>
      <c r="H32" s="1">
        <f t="shared" si="2"/>
        <v>5.0629326130392478</v>
      </c>
      <c r="I32" s="1">
        <f t="shared" si="3"/>
        <v>5.4720000000000012E-2</v>
      </c>
      <c r="J32">
        <v>6.78</v>
      </c>
      <c r="K32">
        <v>5.0503557616347301</v>
      </c>
      <c r="L32">
        <v>1.9869971809381799</v>
      </c>
      <c r="M32">
        <v>108.27651857829601</v>
      </c>
    </row>
    <row r="33" spans="1:13" x14ac:dyDescent="0.2">
      <c r="A33">
        <v>7</v>
      </c>
      <c r="B33">
        <v>70</v>
      </c>
      <c r="C33">
        <v>0.4</v>
      </c>
      <c r="D33">
        <v>49.9</v>
      </c>
      <c r="E33">
        <v>0.4</v>
      </c>
      <c r="F33">
        <f t="shared" si="0"/>
        <v>70</v>
      </c>
      <c r="G33" s="1">
        <f t="shared" si="1"/>
        <v>59.6</v>
      </c>
      <c r="H33" s="1">
        <f t="shared" si="2"/>
        <v>7.6611175437338597</v>
      </c>
      <c r="I33" s="1">
        <f t="shared" si="3"/>
        <v>0.15552000000000002</v>
      </c>
      <c r="J33">
        <v>6.78</v>
      </c>
      <c r="K33">
        <v>1.19101001834616</v>
      </c>
      <c r="L33">
        <v>2.5642613876320501</v>
      </c>
      <c r="M33">
        <v>19.786213183255899</v>
      </c>
    </row>
    <row r="34" spans="1:13" x14ac:dyDescent="0.2">
      <c r="A34">
        <v>7</v>
      </c>
      <c r="B34">
        <v>70</v>
      </c>
      <c r="C34">
        <v>0.4</v>
      </c>
      <c r="D34">
        <v>49.9</v>
      </c>
      <c r="E34">
        <v>0.6</v>
      </c>
      <c r="F34">
        <f t="shared" si="0"/>
        <v>70</v>
      </c>
      <c r="G34" s="1">
        <f t="shared" si="1"/>
        <v>57.2</v>
      </c>
      <c r="H34" s="1">
        <f t="shared" si="2"/>
        <v>7.1910210404973354</v>
      </c>
      <c r="I34" s="1">
        <f t="shared" si="3"/>
        <v>0.15264000000000003</v>
      </c>
      <c r="J34">
        <v>6.78</v>
      </c>
      <c r="K34">
        <v>8.0706773079570695</v>
      </c>
      <c r="L34">
        <v>5.1168812704732698</v>
      </c>
      <c r="M34">
        <v>67.191479721969301</v>
      </c>
    </row>
    <row r="35" spans="1:13" x14ac:dyDescent="0.2">
      <c r="A35">
        <v>7</v>
      </c>
      <c r="B35">
        <v>70</v>
      </c>
      <c r="C35">
        <v>0.4</v>
      </c>
      <c r="D35">
        <v>49.9</v>
      </c>
      <c r="E35">
        <v>0.8</v>
      </c>
      <c r="F35">
        <f t="shared" si="0"/>
        <v>70</v>
      </c>
      <c r="G35" s="1">
        <f t="shared" si="1"/>
        <v>54.8</v>
      </c>
      <c r="H35" s="1">
        <f t="shared" si="2"/>
        <v>6.7493909853658529</v>
      </c>
      <c r="I35" s="1">
        <f t="shared" si="3"/>
        <v>0.14976000000000003</v>
      </c>
      <c r="J35">
        <v>6.78</v>
      </c>
      <c r="K35">
        <v>7.0183137234511603</v>
      </c>
      <c r="L35">
        <v>3.7852519439940799</v>
      </c>
      <c r="M35">
        <v>78.985532179937707</v>
      </c>
    </row>
    <row r="36" spans="1:13" x14ac:dyDescent="0.2">
      <c r="A36">
        <v>7</v>
      </c>
      <c r="B36">
        <v>70</v>
      </c>
      <c r="C36">
        <v>0.4</v>
      </c>
      <c r="D36">
        <v>49.9</v>
      </c>
      <c r="E36">
        <v>1</v>
      </c>
      <c r="F36">
        <f t="shared" si="0"/>
        <v>70</v>
      </c>
      <c r="G36" s="1">
        <f t="shared" si="1"/>
        <v>52.400000000000006</v>
      </c>
      <c r="H36" s="1">
        <f t="shared" si="2"/>
        <v>6.3341471070684321</v>
      </c>
      <c r="I36" s="1">
        <f t="shared" si="3"/>
        <v>0.14688000000000001</v>
      </c>
      <c r="J36">
        <v>6.78</v>
      </c>
      <c r="K36">
        <v>6.29000729954672</v>
      </c>
      <c r="L36">
        <v>3.1169917749921998</v>
      </c>
      <c r="M36">
        <v>85.965670605074493</v>
      </c>
    </row>
    <row r="37" spans="1:13" x14ac:dyDescent="0.2">
      <c r="A37">
        <v>7</v>
      </c>
      <c r="B37">
        <v>70</v>
      </c>
      <c r="C37">
        <v>0.6</v>
      </c>
      <c r="D37">
        <v>49.9</v>
      </c>
      <c r="E37">
        <v>0.4</v>
      </c>
      <c r="F37">
        <f t="shared" si="0"/>
        <v>70</v>
      </c>
      <c r="G37" s="1">
        <f t="shared" si="1"/>
        <v>56.8</v>
      </c>
      <c r="H37" s="1">
        <f t="shared" si="2"/>
        <v>7.1154980010218862</v>
      </c>
      <c r="I37" s="1">
        <f t="shared" si="3"/>
        <v>0.10144000000000002</v>
      </c>
      <c r="J37">
        <v>6.78</v>
      </c>
      <c r="K37">
        <v>8.8388634616510906</v>
      </c>
      <c r="L37">
        <v>6.8195826876682801</v>
      </c>
      <c r="M37">
        <v>55.2138699299298</v>
      </c>
    </row>
    <row r="38" spans="1:13" x14ac:dyDescent="0.2">
      <c r="A38">
        <v>7</v>
      </c>
      <c r="B38">
        <v>70</v>
      </c>
      <c r="C38">
        <v>0.6</v>
      </c>
      <c r="D38">
        <v>49.9</v>
      </c>
      <c r="E38">
        <v>0.6</v>
      </c>
      <c r="F38">
        <f t="shared" si="0"/>
        <v>70</v>
      </c>
      <c r="G38" s="1">
        <f t="shared" si="1"/>
        <v>54.4</v>
      </c>
      <c r="H38" s="1">
        <f t="shared" si="2"/>
        <v>6.6784044525450925</v>
      </c>
      <c r="I38" s="1">
        <f t="shared" si="3"/>
        <v>9.9520000000000011E-2</v>
      </c>
      <c r="J38">
        <v>6.78</v>
      </c>
      <c r="K38">
        <v>7.2790166245907901</v>
      </c>
      <c r="L38">
        <v>4.1368135004029503</v>
      </c>
      <c r="M38">
        <v>74.957713671842598</v>
      </c>
    </row>
    <row r="39" spans="1:13" x14ac:dyDescent="0.2">
      <c r="A39">
        <v>7</v>
      </c>
      <c r="B39">
        <v>70</v>
      </c>
      <c r="C39">
        <v>0.6</v>
      </c>
      <c r="D39">
        <v>49.9</v>
      </c>
      <c r="E39">
        <v>0.8</v>
      </c>
      <c r="F39">
        <f t="shared" si="0"/>
        <v>70</v>
      </c>
      <c r="G39" s="1">
        <f t="shared" si="1"/>
        <v>52</v>
      </c>
      <c r="H39" s="1">
        <f t="shared" si="2"/>
        <v>6.267370270188148</v>
      </c>
      <c r="I39" s="1">
        <f t="shared" si="3"/>
        <v>9.760000000000002E-2</v>
      </c>
      <c r="J39">
        <v>6.78</v>
      </c>
      <c r="K39">
        <v>6.3864090496028103</v>
      </c>
      <c r="L39">
        <v>3.0896695723102798</v>
      </c>
      <c r="M39">
        <v>88.055047973284601</v>
      </c>
    </row>
    <row r="40" spans="1:13" x14ac:dyDescent="0.2">
      <c r="A40">
        <v>7</v>
      </c>
      <c r="B40">
        <v>70</v>
      </c>
      <c r="C40">
        <v>0.6</v>
      </c>
      <c r="D40">
        <v>49.9</v>
      </c>
      <c r="E40">
        <v>1</v>
      </c>
      <c r="F40">
        <f t="shared" si="0"/>
        <v>70</v>
      </c>
      <c r="G40" s="1">
        <f t="shared" si="1"/>
        <v>49.599999999999994</v>
      </c>
      <c r="H40" s="1">
        <f t="shared" si="2"/>
        <v>5.8805437124888744</v>
      </c>
      <c r="I40" s="1">
        <f t="shared" si="3"/>
        <v>9.5680000000000015E-2</v>
      </c>
      <c r="J40">
        <v>6.78</v>
      </c>
      <c r="K40">
        <v>5.7252226701389501</v>
      </c>
      <c r="L40">
        <v>2.49652192074912</v>
      </c>
      <c r="M40">
        <v>97.6937005883605</v>
      </c>
    </row>
    <row r="41" spans="1:13" x14ac:dyDescent="0.2">
      <c r="A41">
        <v>7</v>
      </c>
      <c r="B41">
        <v>70</v>
      </c>
      <c r="C41">
        <v>0.8</v>
      </c>
      <c r="D41">
        <v>49.9</v>
      </c>
      <c r="E41">
        <v>0.4</v>
      </c>
      <c r="F41">
        <f t="shared" si="0"/>
        <v>70</v>
      </c>
      <c r="G41" s="1">
        <f t="shared" si="1"/>
        <v>53.999999999999993</v>
      </c>
      <c r="H41" s="1">
        <f t="shared" si="2"/>
        <v>6.608141355916028</v>
      </c>
      <c r="I41" s="1">
        <f t="shared" si="3"/>
        <v>7.4400000000000008E-2</v>
      </c>
      <c r="J41">
        <v>6.78</v>
      </c>
      <c r="K41">
        <v>7.7652150748368003</v>
      </c>
      <c r="L41">
        <v>5.5622326384832803</v>
      </c>
      <c r="M41">
        <v>59.472186008560001</v>
      </c>
    </row>
    <row r="42" spans="1:13" x14ac:dyDescent="0.2">
      <c r="A42">
        <v>7</v>
      </c>
      <c r="B42">
        <v>70</v>
      </c>
      <c r="C42">
        <v>0.8</v>
      </c>
      <c r="D42">
        <v>49.9</v>
      </c>
      <c r="E42">
        <v>0.6</v>
      </c>
      <c r="F42">
        <f t="shared" si="0"/>
        <v>70</v>
      </c>
      <c r="G42" s="1">
        <f t="shared" si="1"/>
        <v>51.6</v>
      </c>
      <c r="H42" s="1">
        <f t="shared" si="2"/>
        <v>6.201265482527119</v>
      </c>
      <c r="I42" s="1">
        <f t="shared" si="3"/>
        <v>7.2960000000000011E-2</v>
      </c>
      <c r="J42">
        <v>6.78</v>
      </c>
      <c r="K42">
        <v>6.5911235179497902</v>
      </c>
      <c r="L42">
        <v>3.50993234472458</v>
      </c>
      <c r="M42">
        <v>79.996367577983804</v>
      </c>
    </row>
    <row r="43" spans="1:13" x14ac:dyDescent="0.2">
      <c r="A43">
        <v>7</v>
      </c>
      <c r="B43">
        <v>70</v>
      </c>
      <c r="C43">
        <v>0.8</v>
      </c>
      <c r="D43">
        <v>49.9</v>
      </c>
      <c r="E43">
        <v>0.8</v>
      </c>
      <c r="F43">
        <f t="shared" si="0"/>
        <v>70</v>
      </c>
      <c r="G43" s="1">
        <f t="shared" si="1"/>
        <v>49.199999999999996</v>
      </c>
      <c r="H43" s="1">
        <f t="shared" si="2"/>
        <v>5.8183058307482485</v>
      </c>
      <c r="I43" s="1">
        <f t="shared" si="3"/>
        <v>7.152E-2</v>
      </c>
      <c r="J43">
        <v>6.78</v>
      </c>
      <c r="K43">
        <v>5.8091660534775</v>
      </c>
      <c r="L43">
        <v>2.6116003789657198</v>
      </c>
      <c r="M43">
        <v>94.758162411708994</v>
      </c>
    </row>
    <row r="44" spans="1:13" x14ac:dyDescent="0.2">
      <c r="A44">
        <v>7</v>
      </c>
      <c r="B44">
        <v>70</v>
      </c>
      <c r="C44">
        <v>0.8</v>
      </c>
      <c r="D44">
        <v>49.9</v>
      </c>
      <c r="E44">
        <v>1</v>
      </c>
      <c r="F44">
        <f t="shared" si="0"/>
        <v>70</v>
      </c>
      <c r="G44" s="1">
        <f t="shared" si="1"/>
        <v>46.8</v>
      </c>
      <c r="H44" s="1">
        <f t="shared" si="2"/>
        <v>5.4576086475462979</v>
      </c>
      <c r="I44" s="1">
        <f t="shared" si="3"/>
        <v>7.0080000000000017E-2</v>
      </c>
      <c r="J44">
        <v>6.78</v>
      </c>
      <c r="K44">
        <v>5.2347762728206604</v>
      </c>
      <c r="L44">
        <v>2.0867557446543201</v>
      </c>
      <c r="M44">
        <v>106.86514262991901</v>
      </c>
    </row>
    <row r="45" spans="1:13" x14ac:dyDescent="0.2">
      <c r="A45">
        <v>7</v>
      </c>
      <c r="B45">
        <v>70</v>
      </c>
      <c r="C45">
        <v>1</v>
      </c>
      <c r="D45">
        <v>49.9</v>
      </c>
      <c r="E45">
        <v>0.4</v>
      </c>
      <c r="F45">
        <f t="shared" si="0"/>
        <v>70</v>
      </c>
      <c r="G45" s="1">
        <f t="shared" si="1"/>
        <v>51.2</v>
      </c>
      <c r="H45" s="1">
        <f t="shared" si="2"/>
        <v>6.1358246572442106</v>
      </c>
      <c r="I45" s="1">
        <f t="shared" si="3"/>
        <v>5.8176000000000012E-2</v>
      </c>
      <c r="J45">
        <v>6.78</v>
      </c>
      <c r="K45">
        <v>7.04713488666237</v>
      </c>
      <c r="L45">
        <v>4.6760002240905596</v>
      </c>
      <c r="M45">
        <v>64.201861910399202</v>
      </c>
    </row>
    <row r="46" spans="1:13" x14ac:dyDescent="0.2">
      <c r="A46">
        <v>7</v>
      </c>
      <c r="B46">
        <v>70</v>
      </c>
      <c r="C46">
        <v>1</v>
      </c>
      <c r="D46">
        <v>49.9</v>
      </c>
      <c r="E46">
        <v>0.6</v>
      </c>
      <c r="F46">
        <f t="shared" si="0"/>
        <v>70</v>
      </c>
      <c r="G46" s="1">
        <f t="shared" si="1"/>
        <v>48.8</v>
      </c>
      <c r="H46" s="1">
        <f t="shared" si="2"/>
        <v>5.7566860162466886</v>
      </c>
      <c r="I46" s="1">
        <f t="shared" si="3"/>
        <v>5.7024000000000012E-2</v>
      </c>
      <c r="J46">
        <v>6.78</v>
      </c>
      <c r="K46">
        <v>5.9336021232224496</v>
      </c>
      <c r="L46">
        <v>2.9697906718761802</v>
      </c>
      <c r="M46">
        <v>85.114224170498602</v>
      </c>
    </row>
    <row r="47" spans="1:13" x14ac:dyDescent="0.2">
      <c r="A47">
        <v>7</v>
      </c>
      <c r="B47">
        <v>70</v>
      </c>
      <c r="C47">
        <v>1</v>
      </c>
      <c r="D47">
        <v>49.9</v>
      </c>
      <c r="E47">
        <v>0.8</v>
      </c>
      <c r="F47">
        <f t="shared" si="0"/>
        <v>70</v>
      </c>
      <c r="G47" s="1">
        <f t="shared" si="1"/>
        <v>46.4</v>
      </c>
      <c r="H47" s="1">
        <f t="shared" si="2"/>
        <v>5.3995491800915785</v>
      </c>
      <c r="I47" s="1">
        <f t="shared" si="3"/>
        <v>5.5872000000000012E-2</v>
      </c>
      <c r="J47">
        <v>6.78</v>
      </c>
      <c r="K47">
        <v>5.2639175304229404</v>
      </c>
      <c r="L47">
        <v>2.2216257552030299</v>
      </c>
      <c r="M47">
        <v>100.936382840159</v>
      </c>
    </row>
    <row r="48" spans="1:13" x14ac:dyDescent="0.2">
      <c r="A48">
        <v>7</v>
      </c>
      <c r="B48">
        <v>70</v>
      </c>
      <c r="C48">
        <v>1</v>
      </c>
      <c r="D48">
        <v>49.9</v>
      </c>
      <c r="E48">
        <v>1</v>
      </c>
      <c r="F48">
        <f t="shared" si="0"/>
        <v>70</v>
      </c>
      <c r="G48" s="1">
        <f t="shared" si="1"/>
        <v>44</v>
      </c>
      <c r="H48" s="1">
        <f t="shared" si="2"/>
        <v>5.0629326130392478</v>
      </c>
      <c r="I48" s="1">
        <f t="shared" si="3"/>
        <v>5.4720000000000012E-2</v>
      </c>
      <c r="J48">
        <v>6.78</v>
      </c>
      <c r="K48">
        <v>4.76526308427733</v>
      </c>
      <c r="L48">
        <v>1.61932229872749</v>
      </c>
      <c r="M48">
        <v>125.361202221599</v>
      </c>
    </row>
    <row r="49" spans="1:13" x14ac:dyDescent="0.2">
      <c r="A49">
        <v>7</v>
      </c>
      <c r="B49">
        <v>70</v>
      </c>
      <c r="C49">
        <v>0.4</v>
      </c>
      <c r="D49">
        <v>69.900000000000006</v>
      </c>
      <c r="E49">
        <v>0.4</v>
      </c>
      <c r="F49">
        <f t="shared" si="0"/>
        <v>70</v>
      </c>
      <c r="G49" s="1">
        <f t="shared" si="1"/>
        <v>59.6</v>
      </c>
      <c r="H49" s="1">
        <f t="shared" si="2"/>
        <v>7.6611175437338597</v>
      </c>
      <c r="I49" s="1">
        <f t="shared" si="3"/>
        <v>0.15552000000000002</v>
      </c>
      <c r="J49">
        <v>6.78</v>
      </c>
      <c r="K49">
        <v>9.7152730217081107</v>
      </c>
      <c r="L49">
        <v>9.0159491942997292</v>
      </c>
      <c r="M49">
        <v>45.904273267550899</v>
      </c>
    </row>
    <row r="50" spans="1:13" x14ac:dyDescent="0.2">
      <c r="A50">
        <v>7</v>
      </c>
      <c r="B50">
        <v>70</v>
      </c>
      <c r="C50">
        <v>0.4</v>
      </c>
      <c r="D50">
        <v>69.900000000000006</v>
      </c>
      <c r="E50">
        <v>0.6</v>
      </c>
      <c r="F50">
        <f t="shared" si="0"/>
        <v>70</v>
      </c>
      <c r="G50" s="1">
        <f t="shared" si="1"/>
        <v>57.2</v>
      </c>
      <c r="H50" s="1">
        <f t="shared" si="2"/>
        <v>7.1910210404973354</v>
      </c>
      <c r="I50" s="1">
        <f t="shared" si="3"/>
        <v>0.15264000000000003</v>
      </c>
      <c r="J50">
        <v>6.78</v>
      </c>
      <c r="K50">
        <v>7.8631647802866702</v>
      </c>
      <c r="L50">
        <v>5.3291327201411098</v>
      </c>
      <c r="M50">
        <v>62.856530093651102</v>
      </c>
    </row>
    <row r="51" spans="1:13" x14ac:dyDescent="0.2">
      <c r="A51">
        <v>7</v>
      </c>
      <c r="B51">
        <v>70</v>
      </c>
      <c r="C51">
        <v>0.4</v>
      </c>
      <c r="D51">
        <v>69.900000000000006</v>
      </c>
      <c r="E51">
        <v>0.8</v>
      </c>
      <c r="F51">
        <f t="shared" si="0"/>
        <v>70</v>
      </c>
      <c r="G51" s="1">
        <f t="shared" si="1"/>
        <v>54.8</v>
      </c>
      <c r="H51" s="1">
        <f t="shared" si="2"/>
        <v>6.7493909853658529</v>
      </c>
      <c r="I51" s="1">
        <f t="shared" si="3"/>
        <v>0.14976000000000003</v>
      </c>
      <c r="J51">
        <v>6.78</v>
      </c>
      <c r="K51">
        <v>6.6232284725953399</v>
      </c>
      <c r="L51">
        <v>3.57452170316225</v>
      </c>
      <c r="M51">
        <v>78.933500032913699</v>
      </c>
    </row>
    <row r="52" spans="1:13" x14ac:dyDescent="0.2">
      <c r="A52">
        <v>7</v>
      </c>
      <c r="B52">
        <v>70</v>
      </c>
      <c r="C52">
        <v>0.4</v>
      </c>
      <c r="D52">
        <v>69.900000000000006</v>
      </c>
      <c r="E52">
        <v>1</v>
      </c>
      <c r="F52">
        <f t="shared" si="0"/>
        <v>70</v>
      </c>
      <c r="G52" s="1">
        <f t="shared" si="1"/>
        <v>52.400000000000006</v>
      </c>
      <c r="H52" s="1">
        <f t="shared" si="2"/>
        <v>6.3341471070684321</v>
      </c>
      <c r="I52" s="1">
        <f t="shared" si="3"/>
        <v>0.14688000000000001</v>
      </c>
      <c r="J52">
        <v>6.78</v>
      </c>
      <c r="K52">
        <v>5.9241441660363003</v>
      </c>
      <c r="L52">
        <v>2.89217602562913</v>
      </c>
      <c r="M52">
        <v>87.259045717561307</v>
      </c>
    </row>
    <row r="53" spans="1:13" x14ac:dyDescent="0.2">
      <c r="A53">
        <v>7</v>
      </c>
      <c r="B53">
        <v>70</v>
      </c>
      <c r="C53">
        <v>0.6</v>
      </c>
      <c r="D53">
        <v>69.900000000000006</v>
      </c>
      <c r="E53">
        <v>0.4</v>
      </c>
      <c r="F53">
        <f t="shared" si="0"/>
        <v>70</v>
      </c>
      <c r="G53" s="1">
        <f t="shared" si="1"/>
        <v>56.8</v>
      </c>
      <c r="H53" s="1">
        <f t="shared" si="2"/>
        <v>7.1154980010218862</v>
      </c>
      <c r="I53" s="1">
        <f t="shared" si="3"/>
        <v>0.10144000000000002</v>
      </c>
      <c r="J53">
        <v>6.78</v>
      </c>
      <c r="K53">
        <v>8.0815254735388091</v>
      </c>
      <c r="L53">
        <v>5.9702904464172404</v>
      </c>
      <c r="M53">
        <v>57.664356370780602</v>
      </c>
    </row>
    <row r="54" spans="1:13" x14ac:dyDescent="0.2">
      <c r="A54">
        <v>7</v>
      </c>
      <c r="B54">
        <v>70</v>
      </c>
      <c r="C54">
        <v>0.6</v>
      </c>
      <c r="D54">
        <v>69.900000000000006</v>
      </c>
      <c r="E54">
        <v>0.6</v>
      </c>
      <c r="F54">
        <f t="shared" si="0"/>
        <v>70</v>
      </c>
      <c r="G54" s="1">
        <f t="shared" si="1"/>
        <v>54.4</v>
      </c>
      <c r="H54" s="1">
        <f t="shared" si="2"/>
        <v>6.6784044525450925</v>
      </c>
      <c r="I54" s="1">
        <f t="shared" si="3"/>
        <v>9.9520000000000011E-2</v>
      </c>
      <c r="J54">
        <v>6.78</v>
      </c>
      <c r="K54">
        <v>6.8886985732834098</v>
      </c>
      <c r="L54">
        <v>3.9455231789387302</v>
      </c>
      <c r="M54">
        <v>74.377597341137601</v>
      </c>
    </row>
    <row r="55" spans="1:13" x14ac:dyDescent="0.2">
      <c r="A55">
        <v>7</v>
      </c>
      <c r="B55">
        <v>70</v>
      </c>
      <c r="C55">
        <v>0.6</v>
      </c>
      <c r="D55">
        <v>69.900000000000006</v>
      </c>
      <c r="E55">
        <v>0.8</v>
      </c>
      <c r="F55">
        <f t="shared" si="0"/>
        <v>70</v>
      </c>
      <c r="G55" s="1">
        <f t="shared" si="1"/>
        <v>52</v>
      </c>
      <c r="H55" s="1">
        <f t="shared" si="2"/>
        <v>6.267370270188148</v>
      </c>
      <c r="I55" s="1">
        <f t="shared" si="3"/>
        <v>9.760000000000002E-2</v>
      </c>
      <c r="J55">
        <v>6.78</v>
      </c>
      <c r="K55">
        <v>6.01425303023494</v>
      </c>
      <c r="L55">
        <v>2.8179294391986298</v>
      </c>
      <c r="M55">
        <v>90.920359384647099</v>
      </c>
    </row>
    <row r="56" spans="1:13" x14ac:dyDescent="0.2">
      <c r="A56">
        <v>7</v>
      </c>
      <c r="B56">
        <v>70</v>
      </c>
      <c r="C56">
        <v>0.6</v>
      </c>
      <c r="D56">
        <v>69.900000000000006</v>
      </c>
      <c r="E56">
        <v>1</v>
      </c>
      <c r="F56">
        <f t="shared" si="0"/>
        <v>70</v>
      </c>
      <c r="G56" s="1">
        <f t="shared" si="1"/>
        <v>49.599999999999994</v>
      </c>
      <c r="H56" s="1">
        <f t="shared" si="2"/>
        <v>5.8805437124888744</v>
      </c>
      <c r="I56" s="1">
        <f t="shared" si="3"/>
        <v>9.5680000000000015E-2</v>
      </c>
      <c r="J56">
        <v>6.78</v>
      </c>
      <c r="K56">
        <v>5.4206197908765503</v>
      </c>
      <c r="L56">
        <v>2.3435472170390699</v>
      </c>
      <c r="M56">
        <v>98.533702160677393</v>
      </c>
    </row>
    <row r="57" spans="1:13" x14ac:dyDescent="0.2">
      <c r="A57">
        <v>7</v>
      </c>
      <c r="B57">
        <v>70</v>
      </c>
      <c r="C57">
        <v>0.8</v>
      </c>
      <c r="D57">
        <v>69.900000000000006</v>
      </c>
      <c r="E57">
        <v>0.4</v>
      </c>
      <c r="F57">
        <f t="shared" si="0"/>
        <v>70</v>
      </c>
      <c r="G57" s="1">
        <f t="shared" si="1"/>
        <v>53.999999999999993</v>
      </c>
      <c r="H57" s="1">
        <f t="shared" si="2"/>
        <v>6.608141355916028</v>
      </c>
      <c r="I57" s="1">
        <f t="shared" si="3"/>
        <v>7.4400000000000008E-2</v>
      </c>
      <c r="J57">
        <v>6.78</v>
      </c>
      <c r="K57">
        <v>7.2068093322678601</v>
      </c>
      <c r="L57">
        <v>4.81339490993025</v>
      </c>
      <c r="M57">
        <v>63.782435729900797</v>
      </c>
    </row>
    <row r="58" spans="1:13" x14ac:dyDescent="0.2">
      <c r="A58">
        <v>7</v>
      </c>
      <c r="B58">
        <v>70</v>
      </c>
      <c r="C58">
        <v>0.8</v>
      </c>
      <c r="D58">
        <v>69.900000000000006</v>
      </c>
      <c r="E58">
        <v>0.6</v>
      </c>
      <c r="F58">
        <f t="shared" si="0"/>
        <v>70</v>
      </c>
      <c r="G58" s="1">
        <f t="shared" si="1"/>
        <v>51.6</v>
      </c>
      <c r="H58" s="1">
        <f t="shared" si="2"/>
        <v>6.201265482527119</v>
      </c>
      <c r="I58" s="1">
        <f t="shared" si="3"/>
        <v>7.2960000000000011E-2</v>
      </c>
      <c r="J58">
        <v>6.78</v>
      </c>
      <c r="K58">
        <v>6.1258041495045497</v>
      </c>
      <c r="L58">
        <v>3.1521430739765401</v>
      </c>
      <c r="M58">
        <v>82.787877480661393</v>
      </c>
    </row>
    <row r="59" spans="1:13" x14ac:dyDescent="0.2">
      <c r="A59">
        <v>7</v>
      </c>
      <c r="B59">
        <v>70</v>
      </c>
      <c r="C59">
        <v>0.8</v>
      </c>
      <c r="D59">
        <v>69.900000000000006</v>
      </c>
      <c r="E59">
        <v>0.8</v>
      </c>
      <c r="F59">
        <f t="shared" si="0"/>
        <v>70</v>
      </c>
      <c r="G59" s="1">
        <f t="shared" si="1"/>
        <v>49.199999999999996</v>
      </c>
      <c r="H59" s="1">
        <f t="shared" si="2"/>
        <v>5.8183058307482485</v>
      </c>
      <c r="I59" s="1">
        <f t="shared" si="3"/>
        <v>7.152E-2</v>
      </c>
      <c r="J59">
        <v>6.78</v>
      </c>
      <c r="K59">
        <v>5.4865678743839696</v>
      </c>
      <c r="L59">
        <v>2.3930375561386299</v>
      </c>
      <c r="M59">
        <v>97.669913705496498</v>
      </c>
    </row>
    <row r="60" spans="1:13" x14ac:dyDescent="0.2">
      <c r="A60">
        <v>7</v>
      </c>
      <c r="B60">
        <v>70</v>
      </c>
      <c r="C60">
        <v>0.8</v>
      </c>
      <c r="D60">
        <v>69.900000000000006</v>
      </c>
      <c r="E60">
        <v>1</v>
      </c>
      <c r="F60">
        <f t="shared" si="0"/>
        <v>70</v>
      </c>
      <c r="G60" s="1">
        <f t="shared" si="1"/>
        <v>46.8</v>
      </c>
      <c r="H60" s="1">
        <f t="shared" si="2"/>
        <v>5.4576086475462979</v>
      </c>
      <c r="I60" s="1">
        <f t="shared" si="3"/>
        <v>7.0080000000000017E-2</v>
      </c>
      <c r="J60">
        <v>6.78</v>
      </c>
      <c r="K60">
        <v>4.9330536342240903</v>
      </c>
      <c r="L60">
        <v>1.93033318654473</v>
      </c>
      <c r="M60">
        <v>108.866214619489</v>
      </c>
    </row>
    <row r="61" spans="1:13" x14ac:dyDescent="0.2">
      <c r="A61">
        <v>7</v>
      </c>
      <c r="B61">
        <v>70</v>
      </c>
      <c r="C61">
        <v>1</v>
      </c>
      <c r="D61">
        <v>69.900000000000006</v>
      </c>
      <c r="E61">
        <v>0.4</v>
      </c>
      <c r="F61">
        <f t="shared" si="0"/>
        <v>70</v>
      </c>
      <c r="G61" s="1">
        <f t="shared" si="1"/>
        <v>51.2</v>
      </c>
      <c r="H61" s="1">
        <f t="shared" si="2"/>
        <v>6.1358246572442106</v>
      </c>
      <c r="I61" s="1">
        <f t="shared" si="3"/>
        <v>5.8176000000000012E-2</v>
      </c>
      <c r="J61">
        <v>6.78</v>
      </c>
      <c r="K61">
        <v>6.4713238213059503</v>
      </c>
      <c r="L61">
        <v>4.0788273353542701</v>
      </c>
      <c r="M61">
        <v>67.587654174339903</v>
      </c>
    </row>
    <row r="62" spans="1:13" x14ac:dyDescent="0.2">
      <c r="A62">
        <v>7</v>
      </c>
      <c r="B62">
        <v>70</v>
      </c>
      <c r="C62">
        <v>1</v>
      </c>
      <c r="D62">
        <v>69.900000000000006</v>
      </c>
      <c r="E62">
        <v>0.6</v>
      </c>
      <c r="F62">
        <f t="shared" si="0"/>
        <v>70</v>
      </c>
      <c r="G62" s="1">
        <f t="shared" si="1"/>
        <v>48.8</v>
      </c>
      <c r="H62" s="1">
        <f t="shared" si="2"/>
        <v>5.7566860162466886</v>
      </c>
      <c r="I62" s="1">
        <f t="shared" si="3"/>
        <v>5.7024000000000012E-2</v>
      </c>
      <c r="J62">
        <v>6.78</v>
      </c>
      <c r="K62">
        <v>5.5713313437030303</v>
      </c>
      <c r="L62">
        <v>2.7294386362867402</v>
      </c>
      <c r="M62">
        <v>86.955131334747406</v>
      </c>
    </row>
    <row r="63" spans="1:13" x14ac:dyDescent="0.2">
      <c r="A63">
        <v>7</v>
      </c>
      <c r="B63">
        <v>70</v>
      </c>
      <c r="C63">
        <v>1</v>
      </c>
      <c r="D63">
        <v>69.900000000000006</v>
      </c>
      <c r="E63">
        <v>0.8</v>
      </c>
      <c r="F63">
        <f t="shared" si="0"/>
        <v>70</v>
      </c>
      <c r="G63" s="1">
        <f t="shared" si="1"/>
        <v>46.4</v>
      </c>
      <c r="H63" s="1">
        <f t="shared" si="2"/>
        <v>5.3995491800915785</v>
      </c>
      <c r="I63" s="1">
        <f t="shared" si="3"/>
        <v>5.5872000000000012E-2</v>
      </c>
      <c r="J63">
        <v>6.78</v>
      </c>
      <c r="K63">
        <v>4.9644872426878202</v>
      </c>
      <c r="L63">
        <v>2.0329628085951801</v>
      </c>
      <c r="M63">
        <v>104.029024872566</v>
      </c>
    </row>
    <row r="64" spans="1:13" x14ac:dyDescent="0.2">
      <c r="A64">
        <v>7</v>
      </c>
      <c r="B64">
        <v>70</v>
      </c>
      <c r="C64">
        <v>1</v>
      </c>
      <c r="D64">
        <v>69.900000000000006</v>
      </c>
      <c r="E64">
        <v>1</v>
      </c>
      <c r="F64">
        <f t="shared" si="0"/>
        <v>70</v>
      </c>
      <c r="G64" s="1">
        <f t="shared" si="1"/>
        <v>44</v>
      </c>
      <c r="H64" s="1">
        <f t="shared" si="2"/>
        <v>5.0629326130392478</v>
      </c>
      <c r="I64" s="1">
        <f t="shared" si="3"/>
        <v>5.4720000000000012E-2</v>
      </c>
      <c r="J64">
        <v>6.78</v>
      </c>
      <c r="K64">
        <v>4.5034086842611201</v>
      </c>
      <c r="L64">
        <v>1.6747490178583699</v>
      </c>
      <c r="M64">
        <v>114.551608398356</v>
      </c>
    </row>
    <row r="65" spans="1:13" x14ac:dyDescent="0.2">
      <c r="A65">
        <v>7</v>
      </c>
      <c r="B65">
        <v>70</v>
      </c>
      <c r="C65">
        <v>0.4</v>
      </c>
      <c r="D65">
        <v>89.9</v>
      </c>
      <c r="E65">
        <v>0.4</v>
      </c>
      <c r="F65">
        <f t="shared" si="0"/>
        <v>70</v>
      </c>
      <c r="G65" s="1">
        <f t="shared" si="1"/>
        <v>59.6</v>
      </c>
      <c r="H65" s="1">
        <f t="shared" si="2"/>
        <v>7.6611175437338597</v>
      </c>
      <c r="I65" s="1">
        <f t="shared" si="3"/>
        <v>0.15552000000000002</v>
      </c>
      <c r="J65">
        <v>6.78</v>
      </c>
      <c r="K65">
        <v>8.7280215563513792</v>
      </c>
      <c r="L65">
        <v>8.1126376833833405</v>
      </c>
      <c r="M65">
        <v>45.831417750858698</v>
      </c>
    </row>
    <row r="66" spans="1:13" x14ac:dyDescent="0.2">
      <c r="A66">
        <v>7</v>
      </c>
      <c r="B66">
        <v>70</v>
      </c>
      <c r="C66">
        <v>0.4</v>
      </c>
      <c r="D66">
        <v>89.9</v>
      </c>
      <c r="E66">
        <v>0.6</v>
      </c>
      <c r="F66">
        <f t="shared" si="0"/>
        <v>70</v>
      </c>
      <c r="G66" s="1">
        <f t="shared" si="1"/>
        <v>57.2</v>
      </c>
      <c r="H66" s="1">
        <f t="shared" si="2"/>
        <v>7.1910210404973354</v>
      </c>
      <c r="I66" s="1">
        <f t="shared" si="3"/>
        <v>0.15264000000000003</v>
      </c>
      <c r="J66">
        <v>6.78</v>
      </c>
      <c r="K66">
        <v>8.5021880517884494</v>
      </c>
      <c r="L66">
        <v>7.86174213053103</v>
      </c>
      <c r="M66">
        <v>46.070346017132501</v>
      </c>
    </row>
    <row r="67" spans="1:13" x14ac:dyDescent="0.2">
      <c r="A67">
        <v>7</v>
      </c>
      <c r="B67">
        <v>70</v>
      </c>
      <c r="C67">
        <v>0.4</v>
      </c>
      <c r="D67">
        <v>89.9</v>
      </c>
      <c r="E67">
        <v>0.8</v>
      </c>
      <c r="F67">
        <f t="shared" ref="F67:F130" si="4">B67</f>
        <v>70</v>
      </c>
      <c r="G67" s="1">
        <f t="shared" ref="G67:G130" si="5">F67-(A67-1)*2*(C67+E67)-2*C67</f>
        <v>54.8</v>
      </c>
      <c r="H67" s="1">
        <f t="shared" ref="H67:H130" si="6">2.34*0.000001257*(0.5*A67^2*(F67+G67))/(1+2.73*(F67-G67)/(F67+G67))*1000</f>
        <v>6.7493909853658529</v>
      </c>
      <c r="I67" s="1">
        <f t="shared" ref="I67:I130" si="7">0.0000000168*4*0.5*(F67+G67)/(0.00007*C67)</f>
        <v>0.14976000000000003</v>
      </c>
      <c r="J67">
        <v>6.78</v>
      </c>
      <c r="K67">
        <v>0.29359576198534798</v>
      </c>
      <c r="L67">
        <v>0.65754837247240405</v>
      </c>
      <c r="M67">
        <v>19.020925185348599</v>
      </c>
    </row>
    <row r="68" spans="1:13" x14ac:dyDescent="0.2">
      <c r="A68">
        <v>7</v>
      </c>
      <c r="B68">
        <v>70</v>
      </c>
      <c r="C68">
        <v>0.4</v>
      </c>
      <c r="D68">
        <v>89.9</v>
      </c>
      <c r="E68">
        <v>1</v>
      </c>
      <c r="F68">
        <f t="shared" si="4"/>
        <v>70</v>
      </c>
      <c r="G68" s="1">
        <f t="shared" si="5"/>
        <v>52.400000000000006</v>
      </c>
      <c r="H68" s="1">
        <f t="shared" si="6"/>
        <v>6.3341471070684321</v>
      </c>
      <c r="I68" s="1">
        <f t="shared" si="7"/>
        <v>0.14688000000000001</v>
      </c>
      <c r="J68">
        <v>6.78</v>
      </c>
      <c r="K68">
        <v>5.6560463656422604</v>
      </c>
      <c r="L68">
        <v>3.1477628217839602</v>
      </c>
      <c r="M68">
        <v>76.545651104698905</v>
      </c>
    </row>
    <row r="69" spans="1:13" x14ac:dyDescent="0.2">
      <c r="A69">
        <v>7</v>
      </c>
      <c r="B69">
        <v>70</v>
      </c>
      <c r="C69">
        <v>0.6</v>
      </c>
      <c r="D69">
        <v>89.9</v>
      </c>
      <c r="E69">
        <v>0.4</v>
      </c>
      <c r="F69">
        <f t="shared" si="4"/>
        <v>70</v>
      </c>
      <c r="G69" s="1">
        <f t="shared" si="5"/>
        <v>56.8</v>
      </c>
      <c r="H69" s="1">
        <f t="shared" si="6"/>
        <v>7.1154980010218862</v>
      </c>
      <c r="I69" s="1">
        <f t="shared" si="7"/>
        <v>0.10144000000000002</v>
      </c>
      <c r="J69">
        <v>6.78</v>
      </c>
      <c r="K69">
        <v>7.0741445691976903</v>
      </c>
      <c r="L69">
        <v>5.6754704770028797</v>
      </c>
      <c r="M69">
        <v>53.0984231667614</v>
      </c>
    </row>
    <row r="70" spans="1:13" x14ac:dyDescent="0.2">
      <c r="A70">
        <v>7</v>
      </c>
      <c r="B70">
        <v>70</v>
      </c>
      <c r="C70">
        <v>0.6</v>
      </c>
      <c r="D70">
        <v>89.9</v>
      </c>
      <c r="E70">
        <v>0.6</v>
      </c>
      <c r="F70">
        <f t="shared" si="4"/>
        <v>70</v>
      </c>
      <c r="G70" s="1">
        <f t="shared" si="5"/>
        <v>54.4</v>
      </c>
      <c r="H70" s="1">
        <f t="shared" si="6"/>
        <v>6.6784044525450925</v>
      </c>
      <c r="I70" s="1">
        <f t="shared" si="7"/>
        <v>9.9520000000000011E-2</v>
      </c>
      <c r="J70">
        <v>6.78</v>
      </c>
      <c r="K70">
        <v>6.4447990922414702</v>
      </c>
      <c r="L70">
        <v>3.7307557840816599</v>
      </c>
      <c r="M70">
        <v>73.590562852709397</v>
      </c>
    </row>
    <row r="71" spans="1:13" x14ac:dyDescent="0.2">
      <c r="A71">
        <v>7</v>
      </c>
      <c r="B71">
        <v>70</v>
      </c>
      <c r="C71">
        <v>0.6</v>
      </c>
      <c r="D71">
        <v>89.9</v>
      </c>
      <c r="E71">
        <v>0.8</v>
      </c>
      <c r="F71">
        <f t="shared" si="4"/>
        <v>70</v>
      </c>
      <c r="G71" s="1">
        <f t="shared" si="5"/>
        <v>52</v>
      </c>
      <c r="H71" s="1">
        <f t="shared" si="6"/>
        <v>6.267370270188148</v>
      </c>
      <c r="I71" s="1">
        <f t="shared" si="7"/>
        <v>9.760000000000002E-2</v>
      </c>
      <c r="J71">
        <v>6.78</v>
      </c>
      <c r="K71">
        <v>5.6638627321442598</v>
      </c>
      <c r="L71">
        <v>3.15756939753205</v>
      </c>
      <c r="M71">
        <v>76.413374188992506</v>
      </c>
    </row>
    <row r="72" spans="1:13" x14ac:dyDescent="0.2">
      <c r="A72">
        <v>7</v>
      </c>
      <c r="B72">
        <v>70</v>
      </c>
      <c r="C72">
        <v>0.6</v>
      </c>
      <c r="D72">
        <v>89.9</v>
      </c>
      <c r="E72">
        <v>1</v>
      </c>
      <c r="F72">
        <f t="shared" si="4"/>
        <v>70</v>
      </c>
      <c r="G72" s="1">
        <f t="shared" si="5"/>
        <v>49.599999999999994</v>
      </c>
      <c r="H72" s="1">
        <f t="shared" si="6"/>
        <v>5.8805437124888744</v>
      </c>
      <c r="I72" s="1">
        <f t="shared" si="7"/>
        <v>9.5680000000000015E-2</v>
      </c>
      <c r="J72">
        <v>6.78</v>
      </c>
      <c r="K72">
        <v>5.09840160406997</v>
      </c>
      <c r="L72">
        <v>2.8117623376257401</v>
      </c>
      <c r="M72">
        <v>77.244042636340197</v>
      </c>
    </row>
    <row r="73" spans="1:13" x14ac:dyDescent="0.2">
      <c r="A73">
        <v>7</v>
      </c>
      <c r="B73">
        <v>70</v>
      </c>
      <c r="C73">
        <v>0.8</v>
      </c>
      <c r="D73">
        <v>89.9</v>
      </c>
      <c r="E73">
        <v>0.4</v>
      </c>
      <c r="F73">
        <f t="shared" si="4"/>
        <v>70</v>
      </c>
      <c r="G73" s="1">
        <f t="shared" si="5"/>
        <v>53.999999999999993</v>
      </c>
      <c r="H73" s="1">
        <f t="shared" si="6"/>
        <v>6.608141355916028</v>
      </c>
      <c r="I73" s="1">
        <f t="shared" si="7"/>
        <v>7.4400000000000008E-2</v>
      </c>
      <c r="J73">
        <v>6.78</v>
      </c>
      <c r="K73">
        <v>0.95464159644231705</v>
      </c>
      <c r="L73">
        <v>1.87478881710755</v>
      </c>
      <c r="M73">
        <v>21.691898406957101</v>
      </c>
    </row>
    <row r="74" spans="1:13" x14ac:dyDescent="0.2">
      <c r="A74">
        <v>7</v>
      </c>
      <c r="B74">
        <v>70</v>
      </c>
      <c r="C74">
        <v>0.8</v>
      </c>
      <c r="D74">
        <v>89.9</v>
      </c>
      <c r="E74">
        <v>0.6</v>
      </c>
      <c r="F74">
        <f t="shared" si="4"/>
        <v>70</v>
      </c>
      <c r="G74" s="1">
        <f t="shared" si="5"/>
        <v>51.6</v>
      </c>
      <c r="H74" s="1">
        <f t="shared" si="6"/>
        <v>6.201265482527119</v>
      </c>
      <c r="I74" s="1">
        <f t="shared" si="7"/>
        <v>7.2960000000000011E-2</v>
      </c>
      <c r="J74">
        <v>6.78</v>
      </c>
      <c r="K74">
        <v>5.8678763272149101</v>
      </c>
      <c r="L74">
        <v>3.0461358493734298</v>
      </c>
      <c r="M74">
        <v>82.061839219932295</v>
      </c>
    </row>
    <row r="75" spans="1:13" x14ac:dyDescent="0.2">
      <c r="A75">
        <v>7</v>
      </c>
      <c r="B75">
        <v>70</v>
      </c>
      <c r="C75">
        <v>0.8</v>
      </c>
      <c r="D75">
        <v>89.9</v>
      </c>
      <c r="E75">
        <v>0.8</v>
      </c>
      <c r="F75">
        <f t="shared" si="4"/>
        <v>70</v>
      </c>
      <c r="G75" s="1">
        <f t="shared" si="5"/>
        <v>49.199999999999996</v>
      </c>
      <c r="H75" s="1">
        <f t="shared" si="6"/>
        <v>5.8183058307482485</v>
      </c>
      <c r="I75" s="1">
        <f t="shared" si="7"/>
        <v>7.152E-2</v>
      </c>
      <c r="J75">
        <v>6.78</v>
      </c>
      <c r="K75">
        <v>5.1512107356593502</v>
      </c>
      <c r="L75">
        <v>2.3315733867913702</v>
      </c>
      <c r="M75">
        <v>94.117371534886999</v>
      </c>
    </row>
    <row r="76" spans="1:13" x14ac:dyDescent="0.2">
      <c r="A76">
        <v>7</v>
      </c>
      <c r="B76">
        <v>70</v>
      </c>
      <c r="C76">
        <v>0.8</v>
      </c>
      <c r="D76">
        <v>89.9</v>
      </c>
      <c r="E76">
        <v>1</v>
      </c>
      <c r="F76">
        <f t="shared" si="4"/>
        <v>70</v>
      </c>
      <c r="G76" s="1">
        <f t="shared" si="5"/>
        <v>46.8</v>
      </c>
      <c r="H76" s="1">
        <f t="shared" si="6"/>
        <v>5.4576086475462979</v>
      </c>
      <c r="I76" s="1">
        <f t="shared" si="7"/>
        <v>7.0080000000000017E-2</v>
      </c>
      <c r="J76">
        <v>6.78</v>
      </c>
      <c r="K76">
        <v>4.6514789741496401</v>
      </c>
      <c r="L76">
        <v>1.81866761613192</v>
      </c>
      <c r="M76">
        <v>108.955031538046</v>
      </c>
    </row>
    <row r="77" spans="1:13" x14ac:dyDescent="0.2">
      <c r="A77">
        <v>7</v>
      </c>
      <c r="B77">
        <v>70</v>
      </c>
      <c r="C77">
        <v>1</v>
      </c>
      <c r="D77">
        <v>89.9</v>
      </c>
      <c r="E77">
        <v>0.4</v>
      </c>
      <c r="F77">
        <f t="shared" si="4"/>
        <v>70</v>
      </c>
      <c r="G77" s="1">
        <f t="shared" si="5"/>
        <v>51.2</v>
      </c>
      <c r="H77" s="1">
        <f t="shared" si="6"/>
        <v>6.1358246572442106</v>
      </c>
      <c r="I77" s="1">
        <f t="shared" si="7"/>
        <v>5.8176000000000012E-2</v>
      </c>
      <c r="J77">
        <v>6.78</v>
      </c>
      <c r="K77">
        <v>6.1005206794131297</v>
      </c>
      <c r="L77">
        <v>3.7006415467488498</v>
      </c>
      <c r="M77">
        <v>70.226244717963993</v>
      </c>
    </row>
    <row r="78" spans="1:13" x14ac:dyDescent="0.2">
      <c r="A78">
        <v>7</v>
      </c>
      <c r="B78">
        <v>70</v>
      </c>
      <c r="C78">
        <v>1</v>
      </c>
      <c r="D78">
        <v>89.9</v>
      </c>
      <c r="E78">
        <v>0.6</v>
      </c>
      <c r="F78">
        <f t="shared" si="4"/>
        <v>70</v>
      </c>
      <c r="G78" s="1">
        <f t="shared" si="5"/>
        <v>48.8</v>
      </c>
      <c r="H78" s="1">
        <f t="shared" si="6"/>
        <v>5.7566860162466886</v>
      </c>
      <c r="I78" s="1">
        <f t="shared" si="7"/>
        <v>5.7024000000000012E-2</v>
      </c>
      <c r="J78">
        <v>6.78</v>
      </c>
      <c r="K78">
        <v>5.2767691244641703</v>
      </c>
      <c r="L78">
        <v>2.5130932694268799</v>
      </c>
      <c r="M78">
        <v>89.447673251563302</v>
      </c>
    </row>
    <row r="79" spans="1:13" x14ac:dyDescent="0.2">
      <c r="A79">
        <v>7</v>
      </c>
      <c r="B79">
        <v>70</v>
      </c>
      <c r="C79">
        <v>1</v>
      </c>
      <c r="D79">
        <v>89.9</v>
      </c>
      <c r="E79">
        <v>0.8</v>
      </c>
      <c r="F79">
        <f t="shared" si="4"/>
        <v>70</v>
      </c>
      <c r="G79" s="1">
        <f t="shared" si="5"/>
        <v>46.4</v>
      </c>
      <c r="H79" s="1">
        <f t="shared" si="6"/>
        <v>5.3995491800915785</v>
      </c>
      <c r="I79" s="1">
        <f t="shared" si="7"/>
        <v>5.5872000000000012E-2</v>
      </c>
      <c r="J79">
        <v>6.78</v>
      </c>
      <c r="K79">
        <v>4.7026794553278402</v>
      </c>
      <c r="L79">
        <v>2.1679005037841801</v>
      </c>
      <c r="M79">
        <v>92.409281438961202</v>
      </c>
    </row>
    <row r="80" spans="1:13" x14ac:dyDescent="0.2">
      <c r="A80">
        <v>7</v>
      </c>
      <c r="B80">
        <v>70</v>
      </c>
      <c r="C80">
        <v>1</v>
      </c>
      <c r="D80">
        <v>89.9</v>
      </c>
      <c r="E80">
        <v>1</v>
      </c>
      <c r="F80">
        <f t="shared" si="4"/>
        <v>70</v>
      </c>
      <c r="G80" s="1">
        <f t="shared" si="5"/>
        <v>44</v>
      </c>
      <c r="H80" s="1">
        <f t="shared" si="6"/>
        <v>5.0629326130392478</v>
      </c>
      <c r="I80" s="1">
        <f t="shared" si="7"/>
        <v>5.4720000000000012E-2</v>
      </c>
      <c r="J80">
        <v>6.78</v>
      </c>
      <c r="K80">
        <v>4.2653256921415803</v>
      </c>
      <c r="L80">
        <v>1.5846668868506899</v>
      </c>
      <c r="M80">
        <v>114.66312608909401</v>
      </c>
    </row>
    <row r="81" spans="1:13" x14ac:dyDescent="0.2">
      <c r="A81">
        <v>7</v>
      </c>
      <c r="B81">
        <v>75</v>
      </c>
      <c r="C81">
        <v>0.4</v>
      </c>
      <c r="D81">
        <v>9.9</v>
      </c>
      <c r="E81">
        <v>0.4</v>
      </c>
      <c r="F81">
        <f t="shared" si="4"/>
        <v>75</v>
      </c>
      <c r="G81" s="1">
        <f t="shared" si="5"/>
        <v>64.600000000000009</v>
      </c>
      <c r="H81" s="1">
        <f t="shared" si="6"/>
        <v>8.3598686811848211</v>
      </c>
      <c r="I81" s="1">
        <f t="shared" si="7"/>
        <v>0.16752000000000003</v>
      </c>
      <c r="J81">
        <v>6.78</v>
      </c>
      <c r="K81">
        <v>14.7273567992726</v>
      </c>
      <c r="L81">
        <v>18.6323398232615</v>
      </c>
      <c r="M81">
        <v>33.671849715415703</v>
      </c>
    </row>
    <row r="82" spans="1:13" x14ac:dyDescent="0.2">
      <c r="A82">
        <v>7</v>
      </c>
      <c r="B82">
        <v>75</v>
      </c>
      <c r="C82">
        <v>0.4</v>
      </c>
      <c r="D82">
        <v>9.9</v>
      </c>
      <c r="E82">
        <v>0.6</v>
      </c>
      <c r="F82">
        <f t="shared" si="4"/>
        <v>75</v>
      </c>
      <c r="G82" s="1">
        <f t="shared" si="5"/>
        <v>62.2</v>
      </c>
      <c r="H82" s="1">
        <f t="shared" si="6"/>
        <v>7.8801330817826925</v>
      </c>
      <c r="I82" s="1">
        <f t="shared" si="7"/>
        <v>0.16464000000000001</v>
      </c>
      <c r="J82">
        <v>6.78</v>
      </c>
      <c r="K82">
        <v>11.2050448223372</v>
      </c>
      <c r="L82">
        <v>9.5855061286052603</v>
      </c>
      <c r="M82">
        <v>49.7975654592544</v>
      </c>
    </row>
    <row r="83" spans="1:13" x14ac:dyDescent="0.2">
      <c r="A83">
        <v>7</v>
      </c>
      <c r="B83">
        <v>75</v>
      </c>
      <c r="C83">
        <v>0.4</v>
      </c>
      <c r="D83">
        <v>9.9</v>
      </c>
      <c r="E83">
        <v>0.8</v>
      </c>
      <c r="F83">
        <f t="shared" si="4"/>
        <v>75</v>
      </c>
      <c r="G83" s="1">
        <f t="shared" si="5"/>
        <v>59.8</v>
      </c>
      <c r="H83" s="1">
        <f t="shared" si="6"/>
        <v>7.4277032607795972</v>
      </c>
      <c r="I83" s="1">
        <f t="shared" si="7"/>
        <v>0.16176000000000004</v>
      </c>
      <c r="J83">
        <v>6.78</v>
      </c>
      <c r="K83">
        <v>9.6099265870820094</v>
      </c>
      <c r="L83">
        <v>6.8782133398257601</v>
      </c>
      <c r="M83">
        <v>59.518775824691303</v>
      </c>
    </row>
    <row r="84" spans="1:13" x14ac:dyDescent="0.2">
      <c r="A84">
        <v>7</v>
      </c>
      <c r="B84">
        <v>75</v>
      </c>
      <c r="C84">
        <v>0.4</v>
      </c>
      <c r="D84">
        <v>9.9</v>
      </c>
      <c r="E84">
        <v>1</v>
      </c>
      <c r="F84">
        <f t="shared" si="4"/>
        <v>75</v>
      </c>
      <c r="G84" s="1">
        <f t="shared" si="5"/>
        <v>57.400000000000006</v>
      </c>
      <c r="H84" s="1">
        <f t="shared" si="6"/>
        <v>7.000694349538926</v>
      </c>
      <c r="I84" s="1">
        <f t="shared" si="7"/>
        <v>0.15888000000000002</v>
      </c>
      <c r="J84">
        <v>6.78</v>
      </c>
      <c r="K84">
        <v>8.4016060467279008</v>
      </c>
      <c r="L84">
        <v>5.2523017644384797</v>
      </c>
      <c r="M84">
        <v>68.143150041866406</v>
      </c>
    </row>
    <row r="85" spans="1:13" x14ac:dyDescent="0.2">
      <c r="A85">
        <v>7</v>
      </c>
      <c r="B85">
        <v>75</v>
      </c>
      <c r="C85">
        <v>0.6</v>
      </c>
      <c r="D85">
        <v>9.9</v>
      </c>
      <c r="E85">
        <v>0.4</v>
      </c>
      <c r="F85">
        <f t="shared" si="4"/>
        <v>75</v>
      </c>
      <c r="G85" s="1">
        <f t="shared" si="5"/>
        <v>61.8</v>
      </c>
      <c r="H85" s="1">
        <f t="shared" si="6"/>
        <v>7.8028850219537587</v>
      </c>
      <c r="I85" s="1">
        <f t="shared" si="7"/>
        <v>0.10944000000000004</v>
      </c>
      <c r="J85">
        <v>6.78</v>
      </c>
      <c r="K85">
        <v>13.2299210040263</v>
      </c>
      <c r="L85">
        <v>15.371307009012</v>
      </c>
      <c r="M85">
        <v>36.665365318915399</v>
      </c>
    </row>
    <row r="86" spans="1:13" x14ac:dyDescent="0.2">
      <c r="A86">
        <v>7</v>
      </c>
      <c r="B86">
        <v>75</v>
      </c>
      <c r="C86">
        <v>0.6</v>
      </c>
      <c r="D86">
        <v>9.9</v>
      </c>
      <c r="E86">
        <v>0.6</v>
      </c>
      <c r="F86">
        <f t="shared" si="4"/>
        <v>75</v>
      </c>
      <c r="G86" s="1">
        <f t="shared" si="5"/>
        <v>59.4</v>
      </c>
      <c r="H86" s="1">
        <f t="shared" si="6"/>
        <v>7.3548180837209305</v>
      </c>
      <c r="I86" s="1">
        <f t="shared" si="7"/>
        <v>0.10752000000000002</v>
      </c>
      <c r="J86">
        <v>6.78</v>
      </c>
      <c r="K86">
        <v>10.2668100053803</v>
      </c>
      <c r="L86">
        <v>8.1894561364747496</v>
      </c>
      <c r="M86">
        <v>53.405996906542597</v>
      </c>
    </row>
    <row r="87" spans="1:13" x14ac:dyDescent="0.2">
      <c r="A87">
        <v>7</v>
      </c>
      <c r="B87">
        <v>75</v>
      </c>
      <c r="C87">
        <v>0.6</v>
      </c>
      <c r="D87">
        <v>9.9</v>
      </c>
      <c r="E87">
        <v>0.8</v>
      </c>
      <c r="F87">
        <f t="shared" si="4"/>
        <v>75</v>
      </c>
      <c r="G87" s="1">
        <f t="shared" si="5"/>
        <v>57</v>
      </c>
      <c r="H87" s="1">
        <f t="shared" si="6"/>
        <v>6.9318749334216623</v>
      </c>
      <c r="I87" s="1">
        <f t="shared" si="7"/>
        <v>0.10560000000000001</v>
      </c>
      <c r="J87">
        <v>6.78</v>
      </c>
      <c r="K87">
        <v>8.7140819725173007</v>
      </c>
      <c r="L87">
        <v>5.6804190243404102</v>
      </c>
      <c r="M87">
        <v>65.350788193076596</v>
      </c>
    </row>
    <row r="88" spans="1:13" x14ac:dyDescent="0.2">
      <c r="A88">
        <v>7</v>
      </c>
      <c r="B88">
        <v>75</v>
      </c>
      <c r="C88">
        <v>0.6</v>
      </c>
      <c r="D88">
        <v>9.9</v>
      </c>
      <c r="E88">
        <v>1</v>
      </c>
      <c r="F88">
        <f t="shared" si="4"/>
        <v>75</v>
      </c>
      <c r="G88" s="1">
        <f t="shared" si="5"/>
        <v>54.599999999999994</v>
      </c>
      <c r="H88" s="1">
        <f t="shared" si="6"/>
        <v>6.5323666589469571</v>
      </c>
      <c r="I88" s="1">
        <f t="shared" si="7"/>
        <v>0.10368000000000001</v>
      </c>
      <c r="J88">
        <v>6.78</v>
      </c>
      <c r="K88">
        <v>7.6095500386031603</v>
      </c>
      <c r="L88">
        <v>4.1667244273722899</v>
      </c>
      <c r="M88">
        <v>77.7989544949898</v>
      </c>
    </row>
    <row r="89" spans="1:13" x14ac:dyDescent="0.2">
      <c r="A89">
        <v>7</v>
      </c>
      <c r="B89">
        <v>75</v>
      </c>
      <c r="C89">
        <v>0.8</v>
      </c>
      <c r="D89">
        <v>9.9</v>
      </c>
      <c r="E89">
        <v>0.4</v>
      </c>
      <c r="F89">
        <f t="shared" si="4"/>
        <v>75</v>
      </c>
      <c r="G89" s="1">
        <f t="shared" si="5"/>
        <v>58.999999999999993</v>
      </c>
      <c r="H89" s="1">
        <f t="shared" si="6"/>
        <v>7.2826304162539381</v>
      </c>
      <c r="I89" s="1">
        <f t="shared" si="7"/>
        <v>8.0400000000000013E-2</v>
      </c>
      <c r="J89">
        <v>6.78</v>
      </c>
      <c r="K89">
        <v>11.714010407392299</v>
      </c>
      <c r="L89">
        <v>12.2001261582379</v>
      </c>
      <c r="M89">
        <v>40.9025935067571</v>
      </c>
    </row>
    <row r="90" spans="1:13" x14ac:dyDescent="0.2">
      <c r="A90">
        <v>7</v>
      </c>
      <c r="B90">
        <v>75</v>
      </c>
      <c r="C90">
        <v>0.8</v>
      </c>
      <c r="D90">
        <v>9.9</v>
      </c>
      <c r="E90">
        <v>0.6</v>
      </c>
      <c r="F90">
        <f t="shared" si="4"/>
        <v>75</v>
      </c>
      <c r="G90" s="1">
        <f t="shared" si="5"/>
        <v>56.6</v>
      </c>
      <c r="H90" s="1">
        <f t="shared" si="6"/>
        <v>6.8637061535571284</v>
      </c>
      <c r="I90" s="1">
        <f t="shared" si="7"/>
        <v>7.8960000000000002E-2</v>
      </c>
      <c r="J90">
        <v>6.78</v>
      </c>
      <c r="K90">
        <v>9.2503184771179292</v>
      </c>
      <c r="L90">
        <v>6.8954307128360499</v>
      </c>
      <c r="M90">
        <v>57.148501678115402</v>
      </c>
    </row>
    <row r="91" spans="1:13" x14ac:dyDescent="0.2">
      <c r="A91">
        <v>7</v>
      </c>
      <c r="B91">
        <v>75</v>
      </c>
      <c r="C91">
        <v>0.8</v>
      </c>
      <c r="D91">
        <v>9.9</v>
      </c>
      <c r="E91">
        <v>0.8</v>
      </c>
      <c r="F91">
        <f t="shared" si="4"/>
        <v>75</v>
      </c>
      <c r="G91" s="1">
        <f t="shared" si="5"/>
        <v>54.199999999999996</v>
      </c>
      <c r="H91" s="1">
        <f t="shared" si="6"/>
        <v>6.4679501320457655</v>
      </c>
      <c r="I91" s="1">
        <f t="shared" si="7"/>
        <v>7.7520000000000006E-2</v>
      </c>
      <c r="J91">
        <v>6.78</v>
      </c>
      <c r="K91">
        <v>7.9196912226988099</v>
      </c>
      <c r="L91">
        <v>4.7358742993572296</v>
      </c>
      <c r="M91">
        <v>71.238972175567</v>
      </c>
    </row>
    <row r="92" spans="1:13" x14ac:dyDescent="0.2">
      <c r="A92">
        <v>7</v>
      </c>
      <c r="B92">
        <v>75</v>
      </c>
      <c r="C92">
        <v>0.8</v>
      </c>
      <c r="D92">
        <v>9.9</v>
      </c>
      <c r="E92">
        <v>1</v>
      </c>
      <c r="F92">
        <f t="shared" si="4"/>
        <v>75</v>
      </c>
      <c r="G92" s="1">
        <f t="shared" si="5"/>
        <v>51.8</v>
      </c>
      <c r="H92" s="1">
        <f t="shared" si="6"/>
        <v>6.0938445770101399</v>
      </c>
      <c r="I92" s="1">
        <f t="shared" si="7"/>
        <v>7.6080000000000009E-2</v>
      </c>
      <c r="J92">
        <v>6.78</v>
      </c>
      <c r="K92">
        <v>6.98793103085218</v>
      </c>
      <c r="L92">
        <v>3.59129341548332</v>
      </c>
      <c r="M92">
        <v>82.890981659497896</v>
      </c>
    </row>
    <row r="93" spans="1:13" x14ac:dyDescent="0.2">
      <c r="A93">
        <v>7</v>
      </c>
      <c r="B93">
        <v>75</v>
      </c>
      <c r="C93">
        <v>1</v>
      </c>
      <c r="D93">
        <v>9.9</v>
      </c>
      <c r="E93">
        <v>0.4</v>
      </c>
      <c r="F93">
        <f t="shared" si="4"/>
        <v>75</v>
      </c>
      <c r="G93" s="1">
        <f t="shared" si="5"/>
        <v>56.2</v>
      </c>
      <c r="H93" s="1">
        <f t="shared" si="6"/>
        <v>6.7961806097083119</v>
      </c>
      <c r="I93" s="1">
        <f t="shared" si="7"/>
        <v>6.2976000000000004E-2</v>
      </c>
      <c r="J93">
        <v>6.78</v>
      </c>
      <c r="K93">
        <v>10.4831408792736</v>
      </c>
      <c r="L93">
        <v>10.1024161726468</v>
      </c>
      <c r="M93">
        <v>44.2054411443983</v>
      </c>
    </row>
    <row r="94" spans="1:13" x14ac:dyDescent="0.2">
      <c r="A94">
        <v>7</v>
      </c>
      <c r="B94">
        <v>75</v>
      </c>
      <c r="C94">
        <v>1</v>
      </c>
      <c r="D94">
        <v>9.9</v>
      </c>
      <c r="E94">
        <v>0.6</v>
      </c>
      <c r="F94">
        <f t="shared" si="4"/>
        <v>75</v>
      </c>
      <c r="G94" s="1">
        <f t="shared" si="5"/>
        <v>53.8</v>
      </c>
      <c r="H94" s="1">
        <f t="shared" si="6"/>
        <v>6.4041347155842203</v>
      </c>
      <c r="I94" s="1">
        <f t="shared" si="7"/>
        <v>6.1824000000000011E-2</v>
      </c>
      <c r="J94">
        <v>6.78</v>
      </c>
      <c r="K94">
        <v>8.3698345895453095</v>
      </c>
      <c r="L94">
        <v>5.6694099803538203</v>
      </c>
      <c r="M94">
        <v>62.891010612005097</v>
      </c>
    </row>
    <row r="95" spans="1:13" x14ac:dyDescent="0.2">
      <c r="A95">
        <v>7</v>
      </c>
      <c r="B95">
        <v>75</v>
      </c>
      <c r="C95">
        <v>1</v>
      </c>
      <c r="D95">
        <v>9.9</v>
      </c>
      <c r="E95">
        <v>0.8</v>
      </c>
      <c r="F95">
        <f t="shared" si="4"/>
        <v>75</v>
      </c>
      <c r="G95" s="1">
        <f t="shared" si="5"/>
        <v>51.4</v>
      </c>
      <c r="H95" s="1">
        <f t="shared" si="6"/>
        <v>6.0334993282830611</v>
      </c>
      <c r="I95" s="1">
        <f t="shared" si="7"/>
        <v>6.0672000000000011E-2</v>
      </c>
      <c r="J95">
        <v>6.78</v>
      </c>
      <c r="K95">
        <v>7.1237071193672703</v>
      </c>
      <c r="L95">
        <v>3.9051264319750998</v>
      </c>
      <c r="M95">
        <v>77.710645942598703</v>
      </c>
    </row>
    <row r="96" spans="1:13" x14ac:dyDescent="0.2">
      <c r="A96">
        <v>7</v>
      </c>
      <c r="B96">
        <v>75</v>
      </c>
      <c r="C96">
        <v>1</v>
      </c>
      <c r="D96">
        <v>9.9</v>
      </c>
      <c r="E96">
        <v>1</v>
      </c>
      <c r="F96">
        <f t="shared" si="4"/>
        <v>75</v>
      </c>
      <c r="G96" s="1">
        <f t="shared" si="5"/>
        <v>49</v>
      </c>
      <c r="H96" s="1">
        <f t="shared" si="6"/>
        <v>5.6829066702225868</v>
      </c>
      <c r="I96" s="1">
        <f t="shared" si="7"/>
        <v>5.952000000000001E-2</v>
      </c>
      <c r="J96">
        <v>6.78</v>
      </c>
      <c r="K96">
        <v>6.3355960624249796</v>
      </c>
      <c r="L96">
        <v>2.9610297153551302</v>
      </c>
      <c r="M96">
        <v>91.149497062389301</v>
      </c>
    </row>
    <row r="97" spans="1:13" x14ac:dyDescent="0.2">
      <c r="A97">
        <v>7</v>
      </c>
      <c r="B97">
        <v>75</v>
      </c>
      <c r="C97">
        <v>0.4</v>
      </c>
      <c r="D97">
        <v>29.9</v>
      </c>
      <c r="E97">
        <v>0.4</v>
      </c>
      <c r="F97">
        <f t="shared" si="4"/>
        <v>75</v>
      </c>
      <c r="G97" s="1">
        <f t="shared" si="5"/>
        <v>64.600000000000009</v>
      </c>
      <c r="H97" s="1">
        <f t="shared" si="6"/>
        <v>8.3598686811848211</v>
      </c>
      <c r="I97" s="1">
        <f t="shared" si="7"/>
        <v>0.16752000000000003</v>
      </c>
      <c r="J97">
        <v>6.78</v>
      </c>
      <c r="K97">
        <v>12.957029417962801</v>
      </c>
      <c r="L97">
        <v>13.369318463142999</v>
      </c>
      <c r="M97">
        <v>41.286278568137497</v>
      </c>
    </row>
    <row r="98" spans="1:13" x14ac:dyDescent="0.2">
      <c r="A98">
        <v>7</v>
      </c>
      <c r="B98">
        <v>75</v>
      </c>
      <c r="C98">
        <v>0.4</v>
      </c>
      <c r="D98">
        <v>29.9</v>
      </c>
      <c r="E98">
        <v>0.6</v>
      </c>
      <c r="F98">
        <f t="shared" si="4"/>
        <v>75</v>
      </c>
      <c r="G98" s="1">
        <f t="shared" si="5"/>
        <v>62.2</v>
      </c>
      <c r="H98" s="1">
        <f t="shared" si="6"/>
        <v>7.8801330817826925</v>
      </c>
      <c r="I98" s="1">
        <f t="shared" si="7"/>
        <v>0.16464000000000001</v>
      </c>
      <c r="J98">
        <v>6.78</v>
      </c>
      <c r="K98">
        <v>10.291100680298401</v>
      </c>
      <c r="L98">
        <v>7.9654738716791398</v>
      </c>
      <c r="M98">
        <v>55.0376360298159</v>
      </c>
    </row>
    <row r="99" spans="1:13" x14ac:dyDescent="0.2">
      <c r="A99">
        <v>7</v>
      </c>
      <c r="B99">
        <v>75</v>
      </c>
      <c r="C99">
        <v>0.4</v>
      </c>
      <c r="D99">
        <v>29.9</v>
      </c>
      <c r="E99">
        <v>0.8</v>
      </c>
      <c r="F99">
        <f t="shared" si="4"/>
        <v>75</v>
      </c>
      <c r="G99" s="1">
        <f t="shared" si="5"/>
        <v>59.8</v>
      </c>
      <c r="H99" s="1">
        <f t="shared" si="6"/>
        <v>7.4277032607795972</v>
      </c>
      <c r="I99" s="1">
        <f t="shared" si="7"/>
        <v>0.16176000000000004</v>
      </c>
      <c r="J99">
        <v>6.78</v>
      </c>
      <c r="K99">
        <v>8.8219504402392399</v>
      </c>
      <c r="L99">
        <v>5.5908440289010803</v>
      </c>
      <c r="M99">
        <v>67.219735499618594</v>
      </c>
    </row>
    <row r="100" spans="1:13" x14ac:dyDescent="0.2">
      <c r="A100">
        <v>7</v>
      </c>
      <c r="B100">
        <v>75</v>
      </c>
      <c r="C100">
        <v>0.4</v>
      </c>
      <c r="D100">
        <v>29.9</v>
      </c>
      <c r="E100">
        <v>1</v>
      </c>
      <c r="F100">
        <f t="shared" si="4"/>
        <v>75</v>
      </c>
      <c r="G100" s="1">
        <f t="shared" si="5"/>
        <v>57.400000000000006</v>
      </c>
      <c r="H100" s="1">
        <f t="shared" si="6"/>
        <v>7.000694349538926</v>
      </c>
      <c r="I100" s="1">
        <f t="shared" si="7"/>
        <v>0.15888000000000002</v>
      </c>
      <c r="J100">
        <v>6.78</v>
      </c>
      <c r="K100">
        <v>7.8039391893052201</v>
      </c>
      <c r="L100">
        <v>4.3350778053968204</v>
      </c>
      <c r="M100">
        <v>76.687846483670498</v>
      </c>
    </row>
    <row r="101" spans="1:13" x14ac:dyDescent="0.2">
      <c r="A101">
        <v>7</v>
      </c>
      <c r="B101">
        <v>75</v>
      </c>
      <c r="C101">
        <v>0.6</v>
      </c>
      <c r="D101">
        <v>29.9</v>
      </c>
      <c r="E101">
        <v>0.4</v>
      </c>
      <c r="F101">
        <f t="shared" si="4"/>
        <v>75</v>
      </c>
      <c r="G101" s="1">
        <f t="shared" si="5"/>
        <v>61.8</v>
      </c>
      <c r="H101" s="1">
        <f t="shared" si="6"/>
        <v>7.8028850219537587</v>
      </c>
      <c r="I101" s="1">
        <f t="shared" si="7"/>
        <v>0.10944000000000004</v>
      </c>
      <c r="J101">
        <v>6.78</v>
      </c>
      <c r="K101">
        <v>11.5762040929511</v>
      </c>
      <c r="L101">
        <v>11.243040392790601</v>
      </c>
      <c r="M101">
        <v>43.862357089909104</v>
      </c>
    </row>
    <row r="102" spans="1:13" x14ac:dyDescent="0.2">
      <c r="A102">
        <v>7</v>
      </c>
      <c r="B102">
        <v>75</v>
      </c>
      <c r="C102">
        <v>0.6</v>
      </c>
      <c r="D102">
        <v>29.9</v>
      </c>
      <c r="E102">
        <v>0.6</v>
      </c>
      <c r="F102">
        <f t="shared" si="4"/>
        <v>75</v>
      </c>
      <c r="G102" s="1">
        <f t="shared" si="5"/>
        <v>59.4</v>
      </c>
      <c r="H102" s="1">
        <f t="shared" si="6"/>
        <v>7.3548180837209305</v>
      </c>
      <c r="I102" s="1">
        <f t="shared" si="7"/>
        <v>0.10752000000000002</v>
      </c>
      <c r="J102">
        <v>6.78</v>
      </c>
      <c r="K102">
        <v>9.4215300534439308</v>
      </c>
      <c r="L102">
        <v>6.6436943750675299</v>
      </c>
      <c r="M102">
        <v>60.411741350146002</v>
      </c>
    </row>
    <row r="103" spans="1:13" x14ac:dyDescent="0.2">
      <c r="A103">
        <v>7</v>
      </c>
      <c r="B103">
        <v>75</v>
      </c>
      <c r="C103">
        <v>0.6</v>
      </c>
      <c r="D103">
        <v>29.9</v>
      </c>
      <c r="E103">
        <v>0.8</v>
      </c>
      <c r="F103">
        <f t="shared" si="4"/>
        <v>75</v>
      </c>
      <c r="G103" s="1">
        <f t="shared" si="5"/>
        <v>57</v>
      </c>
      <c r="H103" s="1">
        <f t="shared" si="6"/>
        <v>6.9318749334216623</v>
      </c>
      <c r="I103" s="1">
        <f t="shared" si="7"/>
        <v>0.10560000000000001</v>
      </c>
      <c r="J103">
        <v>6.78</v>
      </c>
      <c r="K103">
        <v>8.0785685224493005</v>
      </c>
      <c r="L103">
        <v>4.6573708802060603</v>
      </c>
      <c r="M103">
        <v>73.892974960655707</v>
      </c>
    </row>
    <row r="104" spans="1:13" x14ac:dyDescent="0.2">
      <c r="A104">
        <v>7</v>
      </c>
      <c r="B104">
        <v>75</v>
      </c>
      <c r="C104">
        <v>0.6</v>
      </c>
      <c r="D104">
        <v>29.9</v>
      </c>
      <c r="E104">
        <v>1</v>
      </c>
      <c r="F104">
        <f t="shared" si="4"/>
        <v>75</v>
      </c>
      <c r="G104" s="1">
        <f t="shared" si="5"/>
        <v>54.599999999999994</v>
      </c>
      <c r="H104" s="1">
        <f t="shared" si="6"/>
        <v>6.5323666589469571</v>
      </c>
      <c r="I104" s="1">
        <f t="shared" si="7"/>
        <v>0.10368000000000001</v>
      </c>
      <c r="J104">
        <v>6.78</v>
      </c>
      <c r="K104">
        <v>7.11935757261719</v>
      </c>
      <c r="L104">
        <v>3.6147992201155099</v>
      </c>
      <c r="M104">
        <v>83.900816718331996</v>
      </c>
    </row>
    <row r="105" spans="1:13" x14ac:dyDescent="0.2">
      <c r="A105">
        <v>7</v>
      </c>
      <c r="B105">
        <v>75</v>
      </c>
      <c r="C105">
        <v>0.8</v>
      </c>
      <c r="D105">
        <v>29.9</v>
      </c>
      <c r="E105">
        <v>0.4</v>
      </c>
      <c r="F105">
        <f t="shared" si="4"/>
        <v>75</v>
      </c>
      <c r="G105" s="1">
        <f t="shared" si="5"/>
        <v>58.999999999999993</v>
      </c>
      <c r="H105" s="1">
        <f t="shared" si="6"/>
        <v>7.2826304162539381</v>
      </c>
      <c r="I105" s="1">
        <f t="shared" si="7"/>
        <v>8.0400000000000013E-2</v>
      </c>
      <c r="J105">
        <v>6.78</v>
      </c>
      <c r="K105">
        <v>10.365680780516699</v>
      </c>
      <c r="L105">
        <v>9.0777995848384396</v>
      </c>
      <c r="M105">
        <v>48.643722482210102</v>
      </c>
    </row>
    <row r="106" spans="1:13" x14ac:dyDescent="0.2">
      <c r="A106">
        <v>7</v>
      </c>
      <c r="B106">
        <v>75</v>
      </c>
      <c r="C106">
        <v>0.8</v>
      </c>
      <c r="D106">
        <v>29.9</v>
      </c>
      <c r="E106">
        <v>0.6</v>
      </c>
      <c r="F106">
        <f t="shared" si="4"/>
        <v>75</v>
      </c>
      <c r="G106" s="1">
        <f t="shared" si="5"/>
        <v>56.6</v>
      </c>
      <c r="H106" s="1">
        <f t="shared" si="6"/>
        <v>6.8637061535571284</v>
      </c>
      <c r="I106" s="1">
        <f t="shared" si="7"/>
        <v>7.8960000000000002E-2</v>
      </c>
      <c r="J106">
        <v>6.78</v>
      </c>
      <c r="K106">
        <v>8.4204718257724398</v>
      </c>
      <c r="L106">
        <v>5.4986571526065502</v>
      </c>
      <c r="M106">
        <v>65.236303948920096</v>
      </c>
    </row>
    <row r="107" spans="1:13" x14ac:dyDescent="0.2">
      <c r="A107">
        <v>7</v>
      </c>
      <c r="B107">
        <v>75</v>
      </c>
      <c r="C107">
        <v>0.8</v>
      </c>
      <c r="D107">
        <v>29.9</v>
      </c>
      <c r="E107">
        <v>0.8</v>
      </c>
      <c r="F107">
        <f t="shared" si="4"/>
        <v>75</v>
      </c>
      <c r="G107" s="1">
        <f t="shared" si="5"/>
        <v>54.199999999999996</v>
      </c>
      <c r="H107" s="1">
        <f t="shared" si="6"/>
        <v>6.4679501320457655</v>
      </c>
      <c r="I107" s="1">
        <f t="shared" si="7"/>
        <v>7.7520000000000006E-2</v>
      </c>
      <c r="J107">
        <v>6.78</v>
      </c>
      <c r="K107">
        <v>7.3405812456205801</v>
      </c>
      <c r="L107">
        <v>3.8389345278001299</v>
      </c>
      <c r="M107">
        <v>81.457167931796803</v>
      </c>
    </row>
    <row r="108" spans="1:13" x14ac:dyDescent="0.2">
      <c r="A108">
        <v>7</v>
      </c>
      <c r="B108">
        <v>75</v>
      </c>
      <c r="C108">
        <v>0.8</v>
      </c>
      <c r="D108">
        <v>29.9</v>
      </c>
      <c r="E108">
        <v>1</v>
      </c>
      <c r="F108">
        <f t="shared" si="4"/>
        <v>75</v>
      </c>
      <c r="G108" s="1">
        <f t="shared" si="5"/>
        <v>51.8</v>
      </c>
      <c r="H108" s="1">
        <f t="shared" si="6"/>
        <v>6.0938445770101399</v>
      </c>
      <c r="I108" s="1">
        <f t="shared" si="7"/>
        <v>7.6080000000000009E-2</v>
      </c>
      <c r="J108">
        <v>6.78</v>
      </c>
      <c r="K108">
        <v>6.5236716184320001</v>
      </c>
      <c r="L108">
        <v>3.0047091851343102</v>
      </c>
      <c r="M108">
        <v>92.490943456997897</v>
      </c>
    </row>
    <row r="109" spans="1:13" x14ac:dyDescent="0.2">
      <c r="A109">
        <v>7</v>
      </c>
      <c r="B109">
        <v>75</v>
      </c>
      <c r="C109">
        <v>1</v>
      </c>
      <c r="D109">
        <v>29.9</v>
      </c>
      <c r="E109">
        <v>0.4</v>
      </c>
      <c r="F109">
        <f t="shared" si="4"/>
        <v>75</v>
      </c>
      <c r="G109" s="1">
        <f t="shared" si="5"/>
        <v>56.2</v>
      </c>
      <c r="H109" s="1">
        <f t="shared" si="6"/>
        <v>6.7961806097083119</v>
      </c>
      <c r="I109" s="1">
        <f t="shared" si="7"/>
        <v>6.2976000000000004E-2</v>
      </c>
      <c r="J109">
        <v>6.78</v>
      </c>
      <c r="K109">
        <v>9.3845837051493497</v>
      </c>
      <c r="L109">
        <v>7.8606880645814803</v>
      </c>
      <c r="M109">
        <v>50.858554443043197</v>
      </c>
    </row>
    <row r="110" spans="1:13" x14ac:dyDescent="0.2">
      <c r="A110">
        <v>7</v>
      </c>
      <c r="B110">
        <v>75</v>
      </c>
      <c r="C110">
        <v>1</v>
      </c>
      <c r="D110">
        <v>29.9</v>
      </c>
      <c r="E110">
        <v>0.6</v>
      </c>
      <c r="F110">
        <f t="shared" si="4"/>
        <v>75</v>
      </c>
      <c r="G110" s="1">
        <f t="shared" si="5"/>
        <v>53.8</v>
      </c>
      <c r="H110" s="1">
        <f t="shared" si="6"/>
        <v>6.4041347155842203</v>
      </c>
      <c r="I110" s="1">
        <f t="shared" si="7"/>
        <v>6.1824000000000011E-2</v>
      </c>
      <c r="J110">
        <v>6.78</v>
      </c>
      <c r="K110">
        <v>7.6738797402615999</v>
      </c>
      <c r="L110">
        <v>4.6652686154868004</v>
      </c>
      <c r="M110">
        <v>70.072545896081394</v>
      </c>
    </row>
    <row r="111" spans="1:13" x14ac:dyDescent="0.2">
      <c r="A111">
        <v>7</v>
      </c>
      <c r="B111">
        <v>75</v>
      </c>
      <c r="C111">
        <v>1</v>
      </c>
      <c r="D111">
        <v>29.9</v>
      </c>
      <c r="E111">
        <v>0.8</v>
      </c>
      <c r="F111">
        <f t="shared" si="4"/>
        <v>75</v>
      </c>
      <c r="G111" s="1">
        <f t="shared" si="5"/>
        <v>51.4</v>
      </c>
      <c r="H111" s="1">
        <f t="shared" si="6"/>
        <v>6.0334993282830611</v>
      </c>
      <c r="I111" s="1">
        <f t="shared" si="7"/>
        <v>6.0672000000000011E-2</v>
      </c>
      <c r="J111">
        <v>6.78</v>
      </c>
      <c r="K111">
        <v>6.6563514748522197</v>
      </c>
      <c r="L111">
        <v>3.2187671854120099</v>
      </c>
      <c r="M111">
        <v>88.096010806770494</v>
      </c>
    </row>
    <row r="112" spans="1:13" x14ac:dyDescent="0.2">
      <c r="A112">
        <v>7</v>
      </c>
      <c r="B112">
        <v>75</v>
      </c>
      <c r="C112">
        <v>1</v>
      </c>
      <c r="D112">
        <v>29.9</v>
      </c>
      <c r="E112">
        <v>1</v>
      </c>
      <c r="F112">
        <f t="shared" si="4"/>
        <v>75</v>
      </c>
      <c r="G112" s="1">
        <f t="shared" si="5"/>
        <v>49</v>
      </c>
      <c r="H112" s="1">
        <f t="shared" si="6"/>
        <v>5.6829066702225868</v>
      </c>
      <c r="I112" s="1">
        <f t="shared" si="7"/>
        <v>5.952000000000001E-2</v>
      </c>
      <c r="J112">
        <v>6.78</v>
      </c>
      <c r="K112">
        <v>5.9598848861042502</v>
      </c>
      <c r="L112">
        <v>2.5513568767274899</v>
      </c>
      <c r="M112">
        <v>99.512176013130102</v>
      </c>
    </row>
    <row r="113" spans="1:13" x14ac:dyDescent="0.2">
      <c r="A113">
        <v>7</v>
      </c>
      <c r="B113">
        <v>75</v>
      </c>
      <c r="C113">
        <v>0.4</v>
      </c>
      <c r="D113">
        <v>49.9</v>
      </c>
      <c r="E113">
        <v>0.4</v>
      </c>
      <c r="F113">
        <f t="shared" si="4"/>
        <v>75</v>
      </c>
      <c r="G113" s="1">
        <f t="shared" si="5"/>
        <v>64.600000000000009</v>
      </c>
      <c r="H113" s="1">
        <f t="shared" si="6"/>
        <v>8.3598686811848211</v>
      </c>
      <c r="I113" s="1">
        <f t="shared" si="7"/>
        <v>0.16752000000000003</v>
      </c>
      <c r="J113">
        <v>6.78</v>
      </c>
      <c r="K113">
        <v>12.9456656683637</v>
      </c>
      <c r="L113">
        <v>15.080240340190301</v>
      </c>
      <c r="M113">
        <v>36.570061100013497</v>
      </c>
    </row>
    <row r="114" spans="1:13" x14ac:dyDescent="0.2">
      <c r="A114">
        <v>7</v>
      </c>
      <c r="B114">
        <v>75</v>
      </c>
      <c r="C114">
        <v>0.4</v>
      </c>
      <c r="D114">
        <v>49.9</v>
      </c>
      <c r="E114">
        <v>0.6</v>
      </c>
      <c r="F114">
        <f t="shared" si="4"/>
        <v>75</v>
      </c>
      <c r="G114" s="1">
        <f t="shared" si="5"/>
        <v>62.2</v>
      </c>
      <c r="H114" s="1">
        <f t="shared" si="6"/>
        <v>7.8801330817826925</v>
      </c>
      <c r="I114" s="1">
        <f t="shared" si="7"/>
        <v>0.16464000000000001</v>
      </c>
      <c r="J114">
        <v>6.78</v>
      </c>
      <c r="K114">
        <v>9.4615615261540107</v>
      </c>
      <c r="L114">
        <v>6.8447051387006397</v>
      </c>
      <c r="M114">
        <v>58.886756788059103</v>
      </c>
    </row>
    <row r="115" spans="1:13" x14ac:dyDescent="0.2">
      <c r="A115">
        <v>7</v>
      </c>
      <c r="B115">
        <v>75</v>
      </c>
      <c r="C115">
        <v>0.4</v>
      </c>
      <c r="D115">
        <v>49.9</v>
      </c>
      <c r="E115">
        <v>0.8</v>
      </c>
      <c r="F115">
        <f t="shared" si="4"/>
        <v>75</v>
      </c>
      <c r="G115" s="1">
        <f t="shared" si="5"/>
        <v>59.8</v>
      </c>
      <c r="H115" s="1">
        <f t="shared" si="6"/>
        <v>7.4277032607795972</v>
      </c>
      <c r="I115" s="1">
        <f t="shared" si="7"/>
        <v>0.16176000000000004</v>
      </c>
      <c r="J115">
        <v>6.78</v>
      </c>
      <c r="K115">
        <v>8.1992862927803394</v>
      </c>
      <c r="L115">
        <v>4.88345342951808</v>
      </c>
      <c r="M115">
        <v>71.525114645651499</v>
      </c>
    </row>
    <row r="116" spans="1:13" x14ac:dyDescent="0.2">
      <c r="A116">
        <v>7</v>
      </c>
      <c r="B116">
        <v>75</v>
      </c>
      <c r="C116">
        <v>0.4</v>
      </c>
      <c r="D116">
        <v>49.9</v>
      </c>
      <c r="E116">
        <v>1</v>
      </c>
      <c r="F116">
        <f t="shared" si="4"/>
        <v>75</v>
      </c>
      <c r="G116" s="1">
        <f t="shared" si="5"/>
        <v>57.400000000000006</v>
      </c>
      <c r="H116" s="1">
        <f t="shared" si="6"/>
        <v>7.000694349538926</v>
      </c>
      <c r="I116" s="1">
        <f t="shared" si="7"/>
        <v>0.15888000000000002</v>
      </c>
      <c r="J116">
        <v>6.78</v>
      </c>
      <c r="K116">
        <v>7.2782458555396596</v>
      </c>
      <c r="L116">
        <v>3.8733392449034598</v>
      </c>
      <c r="M116">
        <v>80.048048341284897</v>
      </c>
    </row>
    <row r="117" spans="1:13" x14ac:dyDescent="0.2">
      <c r="A117">
        <v>7</v>
      </c>
      <c r="B117">
        <v>75</v>
      </c>
      <c r="C117">
        <v>0.6</v>
      </c>
      <c r="D117">
        <v>49.9</v>
      </c>
      <c r="E117">
        <v>0.4</v>
      </c>
      <c r="F117">
        <f t="shared" si="4"/>
        <v>75</v>
      </c>
      <c r="G117" s="1">
        <f t="shared" si="5"/>
        <v>61.8</v>
      </c>
      <c r="H117" s="1">
        <f t="shared" si="6"/>
        <v>7.8028850219537587</v>
      </c>
      <c r="I117" s="1">
        <f t="shared" si="7"/>
        <v>0.10944000000000004</v>
      </c>
      <c r="J117">
        <v>6.78</v>
      </c>
      <c r="K117">
        <v>10.4796620396554</v>
      </c>
      <c r="L117">
        <v>9.5594929497787202</v>
      </c>
      <c r="M117">
        <v>46.700548588336801</v>
      </c>
    </row>
    <row r="118" spans="1:13" x14ac:dyDescent="0.2">
      <c r="A118">
        <v>7</v>
      </c>
      <c r="B118">
        <v>75</v>
      </c>
      <c r="C118">
        <v>0.6</v>
      </c>
      <c r="D118">
        <v>49.9</v>
      </c>
      <c r="E118">
        <v>0.6</v>
      </c>
      <c r="F118">
        <f t="shared" si="4"/>
        <v>75</v>
      </c>
      <c r="G118" s="1">
        <f t="shared" si="5"/>
        <v>59.4</v>
      </c>
      <c r="H118" s="1">
        <f t="shared" si="6"/>
        <v>7.3548180837209305</v>
      </c>
      <c r="I118" s="1">
        <f t="shared" si="7"/>
        <v>0.10752000000000002</v>
      </c>
      <c r="J118">
        <v>6.78</v>
      </c>
      <c r="K118">
        <v>8.5858548552221201</v>
      </c>
      <c r="L118">
        <v>5.6127115468194697</v>
      </c>
      <c r="M118">
        <v>65.165897574394194</v>
      </c>
    </row>
    <row r="119" spans="1:13" x14ac:dyDescent="0.2">
      <c r="A119">
        <v>7</v>
      </c>
      <c r="B119">
        <v>75</v>
      </c>
      <c r="C119">
        <v>0.6</v>
      </c>
      <c r="D119">
        <v>49.9</v>
      </c>
      <c r="E119">
        <v>0.8</v>
      </c>
      <c r="F119">
        <f t="shared" si="4"/>
        <v>75</v>
      </c>
      <c r="G119" s="1">
        <f t="shared" si="5"/>
        <v>57</v>
      </c>
      <c r="H119" s="1">
        <f t="shared" si="6"/>
        <v>6.9318749334216623</v>
      </c>
      <c r="I119" s="1">
        <f t="shared" si="7"/>
        <v>0.10560000000000001</v>
      </c>
      <c r="J119">
        <v>6.78</v>
      </c>
      <c r="K119">
        <v>7.4781994290796696</v>
      </c>
      <c r="L119">
        <v>4.0049008679988196</v>
      </c>
      <c r="M119">
        <v>79.545356833493997</v>
      </c>
    </row>
    <row r="120" spans="1:13" x14ac:dyDescent="0.2">
      <c r="A120">
        <v>7</v>
      </c>
      <c r="B120">
        <v>75</v>
      </c>
      <c r="C120">
        <v>0.6</v>
      </c>
      <c r="D120">
        <v>49.9</v>
      </c>
      <c r="E120">
        <v>1</v>
      </c>
      <c r="F120">
        <f t="shared" si="4"/>
        <v>75</v>
      </c>
      <c r="G120" s="1">
        <f t="shared" si="5"/>
        <v>54.599999999999994</v>
      </c>
      <c r="H120" s="1">
        <f t="shared" si="6"/>
        <v>6.5323666589469571</v>
      </c>
      <c r="I120" s="1">
        <f t="shared" si="7"/>
        <v>0.10368000000000001</v>
      </c>
      <c r="J120">
        <v>6.78</v>
      </c>
      <c r="K120">
        <v>6.6631397746110901</v>
      </c>
      <c r="L120">
        <v>3.10178449276391</v>
      </c>
      <c r="M120">
        <v>91.511751044566196</v>
      </c>
    </row>
    <row r="121" spans="1:13" x14ac:dyDescent="0.2">
      <c r="A121">
        <v>7</v>
      </c>
      <c r="B121">
        <v>75</v>
      </c>
      <c r="C121">
        <v>0.8</v>
      </c>
      <c r="D121">
        <v>49.9</v>
      </c>
      <c r="E121">
        <v>0.4</v>
      </c>
      <c r="F121">
        <f t="shared" si="4"/>
        <v>75</v>
      </c>
      <c r="G121" s="1">
        <f t="shared" si="5"/>
        <v>58.999999999999993</v>
      </c>
      <c r="H121" s="1">
        <f t="shared" si="6"/>
        <v>7.2826304162539381</v>
      </c>
      <c r="I121" s="1">
        <f t="shared" si="7"/>
        <v>8.0400000000000013E-2</v>
      </c>
      <c r="J121">
        <v>6.78</v>
      </c>
      <c r="K121">
        <v>9.6515068209155395</v>
      </c>
      <c r="L121">
        <v>8.1915657623868192</v>
      </c>
      <c r="M121">
        <v>50.192376840369803</v>
      </c>
    </row>
    <row r="122" spans="1:13" x14ac:dyDescent="0.2">
      <c r="A122">
        <v>7</v>
      </c>
      <c r="B122">
        <v>75</v>
      </c>
      <c r="C122">
        <v>0.8</v>
      </c>
      <c r="D122">
        <v>49.9</v>
      </c>
      <c r="E122">
        <v>0.6</v>
      </c>
      <c r="F122">
        <f t="shared" si="4"/>
        <v>75</v>
      </c>
      <c r="G122" s="1">
        <f t="shared" si="5"/>
        <v>56.6</v>
      </c>
      <c r="H122" s="1">
        <f t="shared" si="6"/>
        <v>6.8637061535571284</v>
      </c>
      <c r="I122" s="1">
        <f t="shared" si="7"/>
        <v>7.8960000000000002E-2</v>
      </c>
      <c r="J122">
        <v>6.78</v>
      </c>
      <c r="K122">
        <v>7.8462860412941096</v>
      </c>
      <c r="L122">
        <v>4.7408124498259303</v>
      </c>
      <c r="M122">
        <v>70.505163516615298</v>
      </c>
    </row>
    <row r="123" spans="1:13" x14ac:dyDescent="0.2">
      <c r="A123">
        <v>7</v>
      </c>
      <c r="B123">
        <v>75</v>
      </c>
      <c r="C123">
        <v>0.8</v>
      </c>
      <c r="D123">
        <v>49.9</v>
      </c>
      <c r="E123">
        <v>0.8</v>
      </c>
      <c r="F123">
        <f t="shared" si="4"/>
        <v>75</v>
      </c>
      <c r="G123" s="1">
        <f t="shared" si="5"/>
        <v>54.199999999999996</v>
      </c>
      <c r="H123" s="1">
        <f t="shared" si="6"/>
        <v>6.4679501320457655</v>
      </c>
      <c r="I123" s="1">
        <f t="shared" si="7"/>
        <v>7.7520000000000006E-2</v>
      </c>
      <c r="J123">
        <v>6.78</v>
      </c>
      <c r="K123">
        <v>6.8407937287339298</v>
      </c>
      <c r="L123">
        <v>3.3442847855773099</v>
      </c>
      <c r="M123">
        <v>87.139046697066206</v>
      </c>
    </row>
    <row r="124" spans="1:13" x14ac:dyDescent="0.2">
      <c r="A124">
        <v>7</v>
      </c>
      <c r="B124">
        <v>75</v>
      </c>
      <c r="C124">
        <v>0.8</v>
      </c>
      <c r="D124">
        <v>49.9</v>
      </c>
      <c r="E124">
        <v>1</v>
      </c>
      <c r="F124">
        <f t="shared" si="4"/>
        <v>75</v>
      </c>
      <c r="G124" s="1">
        <f t="shared" si="5"/>
        <v>51.8</v>
      </c>
      <c r="H124" s="1">
        <f t="shared" si="6"/>
        <v>6.0938445770101399</v>
      </c>
      <c r="I124" s="1">
        <f t="shared" si="7"/>
        <v>7.6080000000000009E-2</v>
      </c>
      <c r="J124">
        <v>6.78</v>
      </c>
      <c r="K124">
        <v>6.1040960276475698</v>
      </c>
      <c r="L124">
        <v>2.6467230899952199</v>
      </c>
      <c r="M124">
        <v>98.247704748657</v>
      </c>
    </row>
    <row r="125" spans="1:13" x14ac:dyDescent="0.2">
      <c r="A125">
        <v>7</v>
      </c>
      <c r="B125">
        <v>75</v>
      </c>
      <c r="C125">
        <v>1</v>
      </c>
      <c r="D125">
        <v>49.9</v>
      </c>
      <c r="E125">
        <v>0.4</v>
      </c>
      <c r="F125">
        <f t="shared" si="4"/>
        <v>75</v>
      </c>
      <c r="G125" s="1">
        <f t="shared" si="5"/>
        <v>56.2</v>
      </c>
      <c r="H125" s="1">
        <f t="shared" si="6"/>
        <v>6.7961806097083119</v>
      </c>
      <c r="I125" s="1">
        <f t="shared" si="7"/>
        <v>6.2976000000000004E-2</v>
      </c>
      <c r="J125">
        <v>6.78</v>
      </c>
      <c r="K125">
        <v>8.5979805685052995</v>
      </c>
      <c r="L125">
        <v>6.7779120107739503</v>
      </c>
      <c r="M125">
        <v>54.039347299646401</v>
      </c>
    </row>
    <row r="126" spans="1:13" x14ac:dyDescent="0.2">
      <c r="A126">
        <v>7</v>
      </c>
      <c r="B126">
        <v>75</v>
      </c>
      <c r="C126">
        <v>1</v>
      </c>
      <c r="D126">
        <v>49.9</v>
      </c>
      <c r="E126">
        <v>0.6</v>
      </c>
      <c r="F126">
        <f t="shared" si="4"/>
        <v>75</v>
      </c>
      <c r="G126" s="1">
        <f t="shared" si="5"/>
        <v>53.8</v>
      </c>
      <c r="H126" s="1">
        <f t="shared" si="6"/>
        <v>6.4041347155842203</v>
      </c>
      <c r="I126" s="1">
        <f t="shared" si="7"/>
        <v>6.1824000000000011E-2</v>
      </c>
      <c r="J126">
        <v>6.78</v>
      </c>
      <c r="K126">
        <v>7.1074526700510798</v>
      </c>
      <c r="L126">
        <v>3.9182401720980899</v>
      </c>
      <c r="M126">
        <v>77.273838441633998</v>
      </c>
    </row>
    <row r="127" spans="1:13" x14ac:dyDescent="0.2">
      <c r="A127">
        <v>7</v>
      </c>
      <c r="B127">
        <v>75</v>
      </c>
      <c r="C127">
        <v>1</v>
      </c>
      <c r="D127">
        <v>49.9</v>
      </c>
      <c r="E127">
        <v>0.8</v>
      </c>
      <c r="F127">
        <f t="shared" si="4"/>
        <v>75</v>
      </c>
      <c r="G127" s="1">
        <f t="shared" si="5"/>
        <v>51.4</v>
      </c>
      <c r="H127" s="1">
        <f t="shared" si="6"/>
        <v>6.0334993282830611</v>
      </c>
      <c r="I127" s="1">
        <f t="shared" si="7"/>
        <v>6.0672000000000011E-2</v>
      </c>
      <c r="J127">
        <v>6.78</v>
      </c>
      <c r="K127">
        <v>6.2176402869341301</v>
      </c>
      <c r="L127">
        <v>2.8876963833425</v>
      </c>
      <c r="M127">
        <v>91.724135286548403</v>
      </c>
    </row>
    <row r="128" spans="1:13" x14ac:dyDescent="0.2">
      <c r="A128">
        <v>7</v>
      </c>
      <c r="B128">
        <v>75</v>
      </c>
      <c r="C128">
        <v>1</v>
      </c>
      <c r="D128">
        <v>49.9</v>
      </c>
      <c r="E128">
        <v>1</v>
      </c>
      <c r="F128">
        <f t="shared" si="4"/>
        <v>75</v>
      </c>
      <c r="G128" s="1">
        <f t="shared" si="5"/>
        <v>49</v>
      </c>
      <c r="H128" s="1">
        <f t="shared" si="6"/>
        <v>5.6829066702225868</v>
      </c>
      <c r="I128" s="1">
        <f t="shared" si="7"/>
        <v>5.952000000000001E-2</v>
      </c>
      <c r="J128">
        <v>6.78</v>
      </c>
      <c r="K128">
        <v>5.5839254158620397</v>
      </c>
      <c r="L128">
        <v>2.25359527624608</v>
      </c>
      <c r="M128">
        <v>105.55364799712601</v>
      </c>
    </row>
    <row r="129" spans="1:13" x14ac:dyDescent="0.2">
      <c r="A129">
        <v>7</v>
      </c>
      <c r="B129">
        <v>75</v>
      </c>
      <c r="C129">
        <v>0.4</v>
      </c>
      <c r="D129">
        <v>69.900000000000006</v>
      </c>
      <c r="E129">
        <v>0.4</v>
      </c>
      <c r="F129">
        <f t="shared" si="4"/>
        <v>75</v>
      </c>
      <c r="G129" s="1">
        <f t="shared" si="5"/>
        <v>64.600000000000009</v>
      </c>
      <c r="H129" s="1">
        <f t="shared" si="6"/>
        <v>8.3598686811848211</v>
      </c>
      <c r="I129" s="1">
        <f t="shared" si="7"/>
        <v>0.16752000000000003</v>
      </c>
      <c r="J129">
        <v>6.78</v>
      </c>
      <c r="K129">
        <v>11.858399008969201</v>
      </c>
      <c r="L129">
        <v>12.618718648957</v>
      </c>
      <c r="M129">
        <v>40.033205346740203</v>
      </c>
    </row>
    <row r="130" spans="1:13" x14ac:dyDescent="0.2">
      <c r="A130">
        <v>7</v>
      </c>
      <c r="B130">
        <v>75</v>
      </c>
      <c r="C130">
        <v>0.4</v>
      </c>
      <c r="D130">
        <v>69.900000000000006</v>
      </c>
      <c r="E130">
        <v>0.6</v>
      </c>
      <c r="F130">
        <f t="shared" si="4"/>
        <v>75</v>
      </c>
      <c r="G130" s="1">
        <f t="shared" si="5"/>
        <v>62.2</v>
      </c>
      <c r="H130" s="1">
        <f t="shared" si="6"/>
        <v>7.8801330817826925</v>
      </c>
      <c r="I130" s="1">
        <f t="shared" si="7"/>
        <v>0.16464000000000001</v>
      </c>
      <c r="J130">
        <v>6.78</v>
      </c>
      <c r="K130">
        <v>9.5806661922176506</v>
      </c>
      <c r="L130">
        <v>7.6871627373182498</v>
      </c>
      <c r="M130">
        <v>53.093235967383201</v>
      </c>
    </row>
    <row r="131" spans="1:13" x14ac:dyDescent="0.2">
      <c r="A131">
        <v>7</v>
      </c>
      <c r="B131">
        <v>75</v>
      </c>
      <c r="C131">
        <v>0.4</v>
      </c>
      <c r="D131">
        <v>69.900000000000006</v>
      </c>
      <c r="E131">
        <v>0.8</v>
      </c>
      <c r="F131">
        <f t="shared" ref="F131:F194" si="8">B131</f>
        <v>75</v>
      </c>
      <c r="G131" s="1">
        <f t="shared" ref="G131:G194" si="9">F131-(A131-1)*2*(C131+E131)-2*C131</f>
        <v>59.8</v>
      </c>
      <c r="H131" s="1">
        <f t="shared" ref="H131:H194" si="10">2.34*0.000001257*(0.5*A131^2*(F131+G131))/(1+2.73*(F131-G131)/(F131+G131))*1000</f>
        <v>7.4277032607795972</v>
      </c>
      <c r="I131" s="1">
        <f t="shared" ref="I131:I194" si="11">0.0000000168*4*0.5*(F131+G131)/(0.00007*C131)</f>
        <v>0.16176000000000004</v>
      </c>
      <c r="J131">
        <v>6.78</v>
      </c>
      <c r="K131">
        <v>7.8408891886302801</v>
      </c>
      <c r="L131">
        <v>4.7444582470281604</v>
      </c>
      <c r="M131">
        <v>70.402527260483495</v>
      </c>
    </row>
    <row r="132" spans="1:13" x14ac:dyDescent="0.2">
      <c r="A132">
        <v>7</v>
      </c>
      <c r="B132">
        <v>75</v>
      </c>
      <c r="C132">
        <v>0.4</v>
      </c>
      <c r="D132">
        <v>69.900000000000006</v>
      </c>
      <c r="E132">
        <v>1</v>
      </c>
      <c r="F132">
        <f t="shared" si="8"/>
        <v>75</v>
      </c>
      <c r="G132" s="1">
        <f t="shared" si="9"/>
        <v>57.400000000000006</v>
      </c>
      <c r="H132" s="1">
        <f t="shared" si="10"/>
        <v>7.000694349538926</v>
      </c>
      <c r="I132" s="1">
        <f t="shared" si="11"/>
        <v>0.15888000000000002</v>
      </c>
      <c r="J132">
        <v>6.78</v>
      </c>
      <c r="K132">
        <v>6.8980275100022501</v>
      </c>
      <c r="L132">
        <v>3.59618856541015</v>
      </c>
      <c r="M132">
        <v>81.713164265120099</v>
      </c>
    </row>
    <row r="133" spans="1:13" x14ac:dyDescent="0.2">
      <c r="A133">
        <v>7</v>
      </c>
      <c r="B133">
        <v>75</v>
      </c>
      <c r="C133">
        <v>0.6</v>
      </c>
      <c r="D133">
        <v>69.900000000000006</v>
      </c>
      <c r="E133">
        <v>0.4</v>
      </c>
      <c r="F133">
        <f t="shared" si="8"/>
        <v>75</v>
      </c>
      <c r="G133" s="1">
        <f t="shared" si="9"/>
        <v>61.8</v>
      </c>
      <c r="H133" s="1">
        <f t="shared" si="10"/>
        <v>7.8028850219537587</v>
      </c>
      <c r="I133" s="1">
        <f t="shared" si="11"/>
        <v>0.10944000000000004</v>
      </c>
      <c r="J133">
        <v>6.78</v>
      </c>
      <c r="K133">
        <v>10.0248885278155</v>
      </c>
      <c r="L133">
        <v>8.6919596412171902</v>
      </c>
      <c r="M133">
        <v>49.132788536726601</v>
      </c>
    </row>
    <row r="134" spans="1:13" x14ac:dyDescent="0.2">
      <c r="A134">
        <v>7</v>
      </c>
      <c r="B134">
        <v>75</v>
      </c>
      <c r="C134">
        <v>0.6</v>
      </c>
      <c r="D134">
        <v>69.900000000000006</v>
      </c>
      <c r="E134">
        <v>0.6</v>
      </c>
      <c r="F134">
        <f t="shared" si="8"/>
        <v>75</v>
      </c>
      <c r="G134" s="1">
        <f t="shared" si="9"/>
        <v>59.4</v>
      </c>
      <c r="H134" s="1">
        <f t="shared" si="10"/>
        <v>7.3548180837209305</v>
      </c>
      <c r="I134" s="1">
        <f t="shared" si="11"/>
        <v>0.10752000000000002</v>
      </c>
      <c r="J134">
        <v>6.78</v>
      </c>
      <c r="K134">
        <v>8.1585968889790301</v>
      </c>
      <c r="L134">
        <v>5.2453936762883</v>
      </c>
      <c r="M134">
        <v>66.2593161556876</v>
      </c>
    </row>
    <row r="135" spans="1:13" x14ac:dyDescent="0.2">
      <c r="A135">
        <v>7</v>
      </c>
      <c r="B135">
        <v>75</v>
      </c>
      <c r="C135">
        <v>0.6</v>
      </c>
      <c r="D135">
        <v>69.900000000000006</v>
      </c>
      <c r="E135">
        <v>0.8</v>
      </c>
      <c r="F135">
        <f t="shared" si="8"/>
        <v>75</v>
      </c>
      <c r="G135" s="1">
        <f t="shared" si="9"/>
        <v>57</v>
      </c>
      <c r="H135" s="1">
        <f t="shared" si="10"/>
        <v>6.9318749334216623</v>
      </c>
      <c r="I135" s="1">
        <f t="shared" si="11"/>
        <v>0.10560000000000001</v>
      </c>
      <c r="J135">
        <v>6.78</v>
      </c>
      <c r="K135">
        <v>7.0358159189624701</v>
      </c>
      <c r="L135">
        <v>3.6996703462412701</v>
      </c>
      <c r="M135">
        <v>81.014172790150596</v>
      </c>
    </row>
    <row r="136" spans="1:13" x14ac:dyDescent="0.2">
      <c r="A136">
        <v>7</v>
      </c>
      <c r="B136">
        <v>75</v>
      </c>
      <c r="C136">
        <v>0.6</v>
      </c>
      <c r="D136">
        <v>69.900000000000006</v>
      </c>
      <c r="E136">
        <v>1</v>
      </c>
      <c r="F136">
        <f t="shared" si="8"/>
        <v>75</v>
      </c>
      <c r="G136" s="1">
        <f t="shared" si="9"/>
        <v>54.599999999999994</v>
      </c>
      <c r="H136" s="1">
        <f t="shared" si="10"/>
        <v>6.5323666589469571</v>
      </c>
      <c r="I136" s="1">
        <f t="shared" si="11"/>
        <v>0.10368000000000001</v>
      </c>
      <c r="J136">
        <v>6.78</v>
      </c>
      <c r="K136">
        <v>6.2922490645550502</v>
      </c>
      <c r="L136">
        <v>2.9269752307628001</v>
      </c>
      <c r="M136">
        <v>91.579110260900805</v>
      </c>
    </row>
    <row r="137" spans="1:13" x14ac:dyDescent="0.2">
      <c r="A137">
        <v>7</v>
      </c>
      <c r="B137">
        <v>75</v>
      </c>
      <c r="C137">
        <v>0.8</v>
      </c>
      <c r="D137">
        <v>69.900000000000006</v>
      </c>
      <c r="E137">
        <v>0.4</v>
      </c>
      <c r="F137">
        <f t="shared" si="8"/>
        <v>75</v>
      </c>
      <c r="G137" s="1">
        <f t="shared" si="9"/>
        <v>58.999999999999993</v>
      </c>
      <c r="H137" s="1">
        <f t="shared" si="10"/>
        <v>7.2826304162539381</v>
      </c>
      <c r="I137" s="1">
        <f t="shared" si="11"/>
        <v>8.0400000000000013E-2</v>
      </c>
      <c r="J137">
        <v>6.78</v>
      </c>
      <c r="K137">
        <v>9.0253896297712597</v>
      </c>
      <c r="L137">
        <v>7.2342646394893402</v>
      </c>
      <c r="M137">
        <v>53.1472906702583</v>
      </c>
    </row>
    <row r="138" spans="1:13" x14ac:dyDescent="0.2">
      <c r="A138">
        <v>7</v>
      </c>
      <c r="B138">
        <v>75</v>
      </c>
      <c r="C138">
        <v>0.8</v>
      </c>
      <c r="D138">
        <v>69.900000000000006</v>
      </c>
      <c r="E138">
        <v>0.6</v>
      </c>
      <c r="F138">
        <f t="shared" si="8"/>
        <v>75</v>
      </c>
      <c r="G138" s="1">
        <f t="shared" si="9"/>
        <v>56.6</v>
      </c>
      <c r="H138" s="1">
        <f t="shared" si="10"/>
        <v>6.8637061535571284</v>
      </c>
      <c r="I138" s="1">
        <f t="shared" si="11"/>
        <v>7.8960000000000002E-2</v>
      </c>
      <c r="J138">
        <v>6.78</v>
      </c>
      <c r="K138">
        <v>7.3774004127122099</v>
      </c>
      <c r="L138">
        <v>4.3756229581531096</v>
      </c>
      <c r="M138">
        <v>71.824568501614294</v>
      </c>
    </row>
    <row r="139" spans="1:13" x14ac:dyDescent="0.2">
      <c r="A139">
        <v>7</v>
      </c>
      <c r="B139">
        <v>75</v>
      </c>
      <c r="C139">
        <v>0.8</v>
      </c>
      <c r="D139">
        <v>69.900000000000006</v>
      </c>
      <c r="E139">
        <v>0.8</v>
      </c>
      <c r="F139">
        <f t="shared" si="8"/>
        <v>75</v>
      </c>
      <c r="G139" s="1">
        <f t="shared" si="9"/>
        <v>54.199999999999996</v>
      </c>
      <c r="H139" s="1">
        <f t="shared" si="10"/>
        <v>6.4679501320457655</v>
      </c>
      <c r="I139" s="1">
        <f t="shared" si="11"/>
        <v>7.7520000000000006E-2</v>
      </c>
      <c r="J139">
        <v>6.78</v>
      </c>
      <c r="K139">
        <v>6.4055815339285598</v>
      </c>
      <c r="L139">
        <v>3.03120601115072</v>
      </c>
      <c r="M139">
        <v>90.022832222714001</v>
      </c>
    </row>
    <row r="140" spans="1:13" x14ac:dyDescent="0.2">
      <c r="A140">
        <v>7</v>
      </c>
      <c r="B140">
        <v>75</v>
      </c>
      <c r="C140">
        <v>0.8</v>
      </c>
      <c r="D140">
        <v>69.900000000000006</v>
      </c>
      <c r="E140">
        <v>1</v>
      </c>
      <c r="F140">
        <f t="shared" si="8"/>
        <v>75</v>
      </c>
      <c r="G140" s="1">
        <f t="shared" si="9"/>
        <v>51.8</v>
      </c>
      <c r="H140" s="1">
        <f t="shared" si="10"/>
        <v>6.0938445770101399</v>
      </c>
      <c r="I140" s="1">
        <f t="shared" si="11"/>
        <v>7.6080000000000009E-2</v>
      </c>
      <c r="J140">
        <v>6.78</v>
      </c>
      <c r="K140">
        <v>5.7570228536136696</v>
      </c>
      <c r="L140">
        <v>2.4412841990935701</v>
      </c>
      <c r="M140">
        <v>100.459075117102</v>
      </c>
    </row>
    <row r="141" spans="1:13" x14ac:dyDescent="0.2">
      <c r="A141">
        <v>7</v>
      </c>
      <c r="B141">
        <v>75</v>
      </c>
      <c r="C141">
        <v>1</v>
      </c>
      <c r="D141">
        <v>69.900000000000006</v>
      </c>
      <c r="E141">
        <v>0.4</v>
      </c>
      <c r="F141">
        <f t="shared" si="8"/>
        <v>75</v>
      </c>
      <c r="G141" s="1">
        <f t="shared" si="9"/>
        <v>56.2</v>
      </c>
      <c r="H141" s="1">
        <f t="shared" si="10"/>
        <v>6.7961806097083119</v>
      </c>
      <c r="I141" s="1">
        <f t="shared" si="11"/>
        <v>6.2976000000000004E-2</v>
      </c>
      <c r="J141">
        <v>6.78</v>
      </c>
      <c r="K141">
        <v>7.8522860370174401</v>
      </c>
      <c r="L141">
        <v>5.6504890035159097</v>
      </c>
      <c r="M141">
        <v>59.199718212804598</v>
      </c>
    </row>
    <row r="142" spans="1:13" x14ac:dyDescent="0.2">
      <c r="A142">
        <v>7</v>
      </c>
      <c r="B142">
        <v>75</v>
      </c>
      <c r="C142">
        <v>1</v>
      </c>
      <c r="D142">
        <v>69.900000000000006</v>
      </c>
      <c r="E142">
        <v>0.6</v>
      </c>
      <c r="F142">
        <f t="shared" si="8"/>
        <v>75</v>
      </c>
      <c r="G142" s="1">
        <f t="shared" si="9"/>
        <v>53.8</v>
      </c>
      <c r="H142" s="1">
        <f t="shared" si="10"/>
        <v>6.4041347155842203</v>
      </c>
      <c r="I142" s="1">
        <f t="shared" si="11"/>
        <v>6.1824000000000011E-2</v>
      </c>
      <c r="J142">
        <v>6.78</v>
      </c>
      <c r="K142">
        <v>6.6430348809540698</v>
      </c>
      <c r="L142">
        <v>3.5575377925695801</v>
      </c>
      <c r="M142">
        <v>79.547506842995602</v>
      </c>
    </row>
    <row r="143" spans="1:13" x14ac:dyDescent="0.2">
      <c r="A143">
        <v>7</v>
      </c>
      <c r="B143">
        <v>75</v>
      </c>
      <c r="C143">
        <v>1</v>
      </c>
      <c r="D143">
        <v>69.900000000000006</v>
      </c>
      <c r="E143">
        <v>0.8</v>
      </c>
      <c r="F143">
        <f t="shared" si="8"/>
        <v>75</v>
      </c>
      <c r="G143" s="1">
        <f t="shared" si="9"/>
        <v>51.4</v>
      </c>
      <c r="H143" s="1">
        <f t="shared" si="10"/>
        <v>6.0334993282830611</v>
      </c>
      <c r="I143" s="1">
        <f t="shared" si="11"/>
        <v>6.0672000000000011E-2</v>
      </c>
      <c r="J143">
        <v>6.78</v>
      </c>
      <c r="K143">
        <v>5.8200155015528203</v>
      </c>
      <c r="L143">
        <v>2.5923681309596498</v>
      </c>
      <c r="M143">
        <v>95.639441155102205</v>
      </c>
    </row>
    <row r="144" spans="1:13" x14ac:dyDescent="0.2">
      <c r="A144">
        <v>7</v>
      </c>
      <c r="B144">
        <v>75</v>
      </c>
      <c r="C144">
        <v>1</v>
      </c>
      <c r="D144">
        <v>69.900000000000006</v>
      </c>
      <c r="E144">
        <v>1</v>
      </c>
      <c r="F144">
        <f t="shared" si="8"/>
        <v>75</v>
      </c>
      <c r="G144" s="1">
        <f t="shared" si="9"/>
        <v>49</v>
      </c>
      <c r="H144" s="1">
        <f t="shared" si="10"/>
        <v>5.6829066702225868</v>
      </c>
      <c r="I144" s="1">
        <f t="shared" si="11"/>
        <v>5.952000000000001E-2</v>
      </c>
      <c r="J144">
        <v>6.78</v>
      </c>
      <c r="K144">
        <v>5.2580873539174098</v>
      </c>
      <c r="L144">
        <v>2.0643424032623399</v>
      </c>
      <c r="M144">
        <v>108.506467678375</v>
      </c>
    </row>
    <row r="145" spans="1:13" x14ac:dyDescent="0.2">
      <c r="A145">
        <v>7</v>
      </c>
      <c r="B145">
        <v>75</v>
      </c>
      <c r="C145">
        <v>0.4</v>
      </c>
      <c r="D145">
        <v>89.9</v>
      </c>
      <c r="E145">
        <v>0.4</v>
      </c>
      <c r="F145">
        <f t="shared" si="8"/>
        <v>75</v>
      </c>
      <c r="G145" s="1">
        <f t="shared" si="9"/>
        <v>64.600000000000009</v>
      </c>
      <c r="H145" s="1">
        <f t="shared" si="10"/>
        <v>8.3598686811848211</v>
      </c>
      <c r="I145" s="1">
        <f t="shared" si="11"/>
        <v>0.16752000000000003</v>
      </c>
      <c r="J145">
        <v>6.78</v>
      </c>
      <c r="K145">
        <v>10.857458396419201</v>
      </c>
      <c r="L145">
        <v>12.137557548284001</v>
      </c>
      <c r="M145">
        <v>38.107146892821198</v>
      </c>
    </row>
    <row r="146" spans="1:13" x14ac:dyDescent="0.2">
      <c r="A146">
        <v>7</v>
      </c>
      <c r="B146">
        <v>75</v>
      </c>
      <c r="C146">
        <v>0.4</v>
      </c>
      <c r="D146">
        <v>89.9</v>
      </c>
      <c r="E146">
        <v>0.6</v>
      </c>
      <c r="F146">
        <f t="shared" si="8"/>
        <v>75</v>
      </c>
      <c r="G146" s="1">
        <f t="shared" si="9"/>
        <v>62.2</v>
      </c>
      <c r="H146" s="1">
        <f t="shared" si="10"/>
        <v>7.8801330817826925</v>
      </c>
      <c r="I146" s="1">
        <f t="shared" si="11"/>
        <v>0.16464000000000001</v>
      </c>
      <c r="J146">
        <v>6.78</v>
      </c>
      <c r="K146">
        <v>1.7533577155873601</v>
      </c>
      <c r="L146">
        <v>4.6902701942422302</v>
      </c>
      <c r="M146">
        <v>15.925102232544001</v>
      </c>
    </row>
    <row r="147" spans="1:13" x14ac:dyDescent="0.2">
      <c r="A147">
        <v>7</v>
      </c>
      <c r="B147">
        <v>75</v>
      </c>
      <c r="C147">
        <v>0.4</v>
      </c>
      <c r="D147">
        <v>89.9</v>
      </c>
      <c r="E147">
        <v>0.8</v>
      </c>
      <c r="F147">
        <f t="shared" si="8"/>
        <v>75</v>
      </c>
      <c r="G147" s="1">
        <f t="shared" si="9"/>
        <v>59.8</v>
      </c>
      <c r="H147" s="1">
        <f t="shared" si="10"/>
        <v>7.4277032607795972</v>
      </c>
      <c r="I147" s="1">
        <f t="shared" si="11"/>
        <v>0.16176000000000004</v>
      </c>
      <c r="J147">
        <v>6.78</v>
      </c>
      <c r="K147">
        <v>7.5804384309037296</v>
      </c>
      <c r="L147">
        <v>4.9970859986804399</v>
      </c>
      <c r="M147">
        <v>64.622992244056405</v>
      </c>
    </row>
    <row r="148" spans="1:13" x14ac:dyDescent="0.2">
      <c r="A148">
        <v>7</v>
      </c>
      <c r="B148">
        <v>75</v>
      </c>
      <c r="C148">
        <v>0.4</v>
      </c>
      <c r="D148">
        <v>89.9</v>
      </c>
      <c r="E148">
        <v>1</v>
      </c>
      <c r="F148">
        <f t="shared" si="8"/>
        <v>75</v>
      </c>
      <c r="G148" s="1">
        <f t="shared" si="9"/>
        <v>57.400000000000006</v>
      </c>
      <c r="H148" s="1">
        <f t="shared" si="10"/>
        <v>7.000694349538926</v>
      </c>
      <c r="I148" s="1">
        <f t="shared" si="11"/>
        <v>0.15888000000000002</v>
      </c>
      <c r="J148">
        <v>6.78</v>
      </c>
      <c r="K148">
        <v>6.5630014444010998</v>
      </c>
      <c r="L148">
        <v>3.5302070759990101</v>
      </c>
      <c r="M148">
        <v>79.197574468595505</v>
      </c>
    </row>
    <row r="149" spans="1:13" x14ac:dyDescent="0.2">
      <c r="A149">
        <v>7</v>
      </c>
      <c r="B149">
        <v>75</v>
      </c>
      <c r="C149">
        <v>0.6</v>
      </c>
      <c r="D149">
        <v>89.9</v>
      </c>
      <c r="E149">
        <v>0.4</v>
      </c>
      <c r="F149">
        <f t="shared" si="8"/>
        <v>75</v>
      </c>
      <c r="G149" s="1">
        <f t="shared" si="9"/>
        <v>61.8</v>
      </c>
      <c r="H149" s="1">
        <f t="shared" si="10"/>
        <v>7.8028850219537587</v>
      </c>
      <c r="I149" s="1">
        <f t="shared" si="11"/>
        <v>0.10944000000000004</v>
      </c>
      <c r="J149">
        <v>6.78</v>
      </c>
      <c r="K149">
        <v>8.4402164340127808</v>
      </c>
      <c r="L149">
        <v>6.3944918229016299</v>
      </c>
      <c r="M149">
        <v>56.228579145294098</v>
      </c>
    </row>
    <row r="150" spans="1:13" x14ac:dyDescent="0.2">
      <c r="A150">
        <v>7</v>
      </c>
      <c r="B150">
        <v>75</v>
      </c>
      <c r="C150">
        <v>0.6</v>
      </c>
      <c r="D150">
        <v>89.9</v>
      </c>
      <c r="E150">
        <v>0.6</v>
      </c>
      <c r="F150">
        <f t="shared" si="8"/>
        <v>75</v>
      </c>
      <c r="G150" s="1">
        <f t="shared" si="9"/>
        <v>59.4</v>
      </c>
      <c r="H150" s="1">
        <f t="shared" si="10"/>
        <v>7.3548180837209305</v>
      </c>
      <c r="I150" s="1">
        <f t="shared" si="11"/>
        <v>0.10752000000000002</v>
      </c>
      <c r="J150">
        <v>6.78</v>
      </c>
      <c r="K150">
        <v>7.4736957119512599</v>
      </c>
      <c r="L150">
        <v>4.86778200937826</v>
      </c>
      <c r="M150">
        <v>65.405437154122296</v>
      </c>
    </row>
    <row r="151" spans="1:13" x14ac:dyDescent="0.2">
      <c r="A151">
        <v>7</v>
      </c>
      <c r="B151">
        <v>75</v>
      </c>
      <c r="C151">
        <v>0.6</v>
      </c>
      <c r="D151">
        <v>89.9</v>
      </c>
      <c r="E151">
        <v>0.8</v>
      </c>
      <c r="F151">
        <f t="shared" si="8"/>
        <v>75</v>
      </c>
      <c r="G151" s="1">
        <f t="shared" si="9"/>
        <v>57</v>
      </c>
      <c r="H151" s="1">
        <f t="shared" si="10"/>
        <v>6.9318749334216623</v>
      </c>
      <c r="I151" s="1">
        <f t="shared" si="11"/>
        <v>0.10560000000000001</v>
      </c>
      <c r="J151">
        <v>6.78</v>
      </c>
      <c r="K151">
        <v>6.6766077101461603</v>
      </c>
      <c r="L151">
        <v>3.61112720557293</v>
      </c>
      <c r="M151">
        <v>78.763069841971401</v>
      </c>
    </row>
    <row r="152" spans="1:13" x14ac:dyDescent="0.2">
      <c r="A152">
        <v>7</v>
      </c>
      <c r="B152">
        <v>75</v>
      </c>
      <c r="C152">
        <v>0.6</v>
      </c>
      <c r="D152">
        <v>89.9</v>
      </c>
      <c r="E152">
        <v>1</v>
      </c>
      <c r="F152">
        <f t="shared" si="8"/>
        <v>75</v>
      </c>
      <c r="G152" s="1">
        <f t="shared" si="9"/>
        <v>54.599999999999994</v>
      </c>
      <c r="H152" s="1">
        <f t="shared" si="10"/>
        <v>6.5323666589469571</v>
      </c>
      <c r="I152" s="1">
        <f t="shared" si="11"/>
        <v>0.10368000000000001</v>
      </c>
      <c r="J152">
        <v>6.78</v>
      </c>
      <c r="K152">
        <v>5.9586001214070903</v>
      </c>
      <c r="L152">
        <v>2.7432486115464201</v>
      </c>
      <c r="M152">
        <v>92.531293937180394</v>
      </c>
    </row>
    <row r="153" spans="1:13" x14ac:dyDescent="0.2">
      <c r="A153">
        <v>7</v>
      </c>
      <c r="B153">
        <v>75</v>
      </c>
      <c r="C153">
        <v>0.8</v>
      </c>
      <c r="D153">
        <v>89.9</v>
      </c>
      <c r="E153">
        <v>0.4</v>
      </c>
      <c r="F153">
        <f t="shared" si="8"/>
        <v>75</v>
      </c>
      <c r="G153" s="1">
        <f t="shared" si="9"/>
        <v>58.999999999999993</v>
      </c>
      <c r="H153" s="1">
        <f t="shared" si="10"/>
        <v>7.2826304162539381</v>
      </c>
      <c r="I153" s="1">
        <f t="shared" si="11"/>
        <v>8.0400000000000013E-2</v>
      </c>
      <c r="J153">
        <v>6.78</v>
      </c>
      <c r="K153">
        <v>8.2894549850412407</v>
      </c>
      <c r="L153">
        <v>6.4426268277379499</v>
      </c>
      <c r="M153">
        <v>54.811610515258103</v>
      </c>
    </row>
    <row r="154" spans="1:13" x14ac:dyDescent="0.2">
      <c r="A154">
        <v>7</v>
      </c>
      <c r="B154">
        <v>75</v>
      </c>
      <c r="C154">
        <v>0.8</v>
      </c>
      <c r="D154">
        <v>89.9</v>
      </c>
      <c r="E154">
        <v>0.6</v>
      </c>
      <c r="F154">
        <f t="shared" si="8"/>
        <v>75</v>
      </c>
      <c r="G154" s="1">
        <f t="shared" si="9"/>
        <v>56.6</v>
      </c>
      <c r="H154" s="1">
        <f t="shared" si="10"/>
        <v>6.8637061535571284</v>
      </c>
      <c r="I154" s="1">
        <f t="shared" si="11"/>
        <v>7.8960000000000002E-2</v>
      </c>
      <c r="J154">
        <v>6.78</v>
      </c>
      <c r="K154">
        <v>6.9201309401373701</v>
      </c>
      <c r="L154">
        <v>3.9647334202787401</v>
      </c>
      <c r="M154">
        <v>74.354949442422196</v>
      </c>
    </row>
    <row r="155" spans="1:13" x14ac:dyDescent="0.2">
      <c r="A155">
        <v>7</v>
      </c>
      <c r="B155">
        <v>75</v>
      </c>
      <c r="C155">
        <v>0.8</v>
      </c>
      <c r="D155">
        <v>89.9</v>
      </c>
      <c r="E155">
        <v>0.8</v>
      </c>
      <c r="F155">
        <f t="shared" si="8"/>
        <v>75</v>
      </c>
      <c r="G155" s="1">
        <f t="shared" si="9"/>
        <v>54.199999999999996</v>
      </c>
      <c r="H155" s="1">
        <f t="shared" si="10"/>
        <v>6.4679501320457655</v>
      </c>
      <c r="I155" s="1">
        <f t="shared" si="11"/>
        <v>7.7520000000000006E-2</v>
      </c>
      <c r="J155">
        <v>6.78</v>
      </c>
      <c r="K155">
        <v>6.0306237693065201</v>
      </c>
      <c r="L155">
        <v>2.8805616543957901</v>
      </c>
      <c r="M155">
        <v>89.185576141273003</v>
      </c>
    </row>
    <row r="156" spans="1:13" x14ac:dyDescent="0.2">
      <c r="A156">
        <v>7</v>
      </c>
      <c r="B156">
        <v>75</v>
      </c>
      <c r="C156">
        <v>0.8</v>
      </c>
      <c r="D156">
        <v>89.9</v>
      </c>
      <c r="E156">
        <v>1</v>
      </c>
      <c r="F156">
        <f t="shared" si="8"/>
        <v>75</v>
      </c>
      <c r="G156" s="1">
        <f t="shared" si="9"/>
        <v>51.8</v>
      </c>
      <c r="H156" s="1">
        <f t="shared" si="10"/>
        <v>6.0938445770101399</v>
      </c>
      <c r="I156" s="1">
        <f t="shared" si="11"/>
        <v>7.6080000000000009E-2</v>
      </c>
      <c r="J156">
        <v>6.78</v>
      </c>
      <c r="K156">
        <v>5.4237093101452398</v>
      </c>
      <c r="L156">
        <v>2.4529600773247799</v>
      </c>
      <c r="M156">
        <v>94.1923185496222</v>
      </c>
    </row>
    <row r="157" spans="1:13" x14ac:dyDescent="0.2">
      <c r="A157">
        <v>7</v>
      </c>
      <c r="B157">
        <v>75</v>
      </c>
      <c r="C157">
        <v>1</v>
      </c>
      <c r="D157">
        <v>89.9</v>
      </c>
      <c r="E157">
        <v>0.4</v>
      </c>
      <c r="F157">
        <f t="shared" si="8"/>
        <v>75</v>
      </c>
      <c r="G157" s="1">
        <f t="shared" si="9"/>
        <v>56.2</v>
      </c>
      <c r="H157" s="1">
        <f t="shared" si="10"/>
        <v>6.7961806097083119</v>
      </c>
      <c r="I157" s="1">
        <f t="shared" si="11"/>
        <v>6.2976000000000004E-2</v>
      </c>
      <c r="J157">
        <v>6.78</v>
      </c>
      <c r="K157">
        <v>7.1762152078884496</v>
      </c>
      <c r="L157">
        <v>4.9071073681859296</v>
      </c>
      <c r="M157">
        <v>62.298767677133199</v>
      </c>
    </row>
    <row r="158" spans="1:13" x14ac:dyDescent="0.2">
      <c r="A158">
        <v>7</v>
      </c>
      <c r="B158">
        <v>75</v>
      </c>
      <c r="C158">
        <v>1</v>
      </c>
      <c r="D158">
        <v>89.9</v>
      </c>
      <c r="E158">
        <v>0.6</v>
      </c>
      <c r="F158">
        <f t="shared" si="8"/>
        <v>75</v>
      </c>
      <c r="G158" s="1">
        <f t="shared" si="9"/>
        <v>53.8</v>
      </c>
      <c r="H158" s="1">
        <f t="shared" si="10"/>
        <v>6.4041347155842203</v>
      </c>
      <c r="I158" s="1">
        <f t="shared" si="11"/>
        <v>6.1824000000000011E-2</v>
      </c>
      <c r="J158">
        <v>6.78</v>
      </c>
      <c r="K158">
        <v>6.3012691777621104</v>
      </c>
      <c r="L158">
        <v>3.46443890753137</v>
      </c>
      <c r="M158">
        <v>77.482689504321499</v>
      </c>
    </row>
    <row r="159" spans="1:13" x14ac:dyDescent="0.2">
      <c r="A159">
        <v>7</v>
      </c>
      <c r="B159">
        <v>75</v>
      </c>
      <c r="C159">
        <v>1</v>
      </c>
      <c r="D159">
        <v>89.9</v>
      </c>
      <c r="E159">
        <v>0.8</v>
      </c>
      <c r="F159">
        <f t="shared" si="8"/>
        <v>75</v>
      </c>
      <c r="G159" s="1">
        <f t="shared" si="9"/>
        <v>51.4</v>
      </c>
      <c r="H159" s="1">
        <f t="shared" si="10"/>
        <v>6.0334993282830611</v>
      </c>
      <c r="I159" s="1">
        <f t="shared" si="11"/>
        <v>6.0672000000000011E-2</v>
      </c>
      <c r="J159">
        <v>6.78</v>
      </c>
      <c r="K159">
        <v>5.4299490995722701</v>
      </c>
      <c r="L159">
        <v>2.5514165774129101</v>
      </c>
      <c r="M159">
        <v>90.661718689016496</v>
      </c>
    </row>
    <row r="160" spans="1:13" x14ac:dyDescent="0.2">
      <c r="A160">
        <v>7</v>
      </c>
      <c r="B160">
        <v>75</v>
      </c>
      <c r="C160">
        <v>1</v>
      </c>
      <c r="D160">
        <v>89.9</v>
      </c>
      <c r="E160">
        <v>1</v>
      </c>
      <c r="F160">
        <f t="shared" si="8"/>
        <v>75</v>
      </c>
      <c r="G160" s="1">
        <f t="shared" si="9"/>
        <v>49</v>
      </c>
      <c r="H160" s="1">
        <f t="shared" si="10"/>
        <v>5.6829066702225868</v>
      </c>
      <c r="I160" s="1">
        <f t="shared" si="11"/>
        <v>5.952000000000001E-2</v>
      </c>
      <c r="J160">
        <v>6.78</v>
      </c>
      <c r="K160">
        <v>4.9394956651721902</v>
      </c>
      <c r="L160">
        <v>2.0277384813228898</v>
      </c>
      <c r="M160">
        <v>103.77200975705099</v>
      </c>
    </row>
    <row r="161" spans="1:13" x14ac:dyDescent="0.2">
      <c r="A161">
        <v>7</v>
      </c>
      <c r="B161">
        <v>80</v>
      </c>
      <c r="C161">
        <v>0.4</v>
      </c>
      <c r="D161">
        <v>9.9</v>
      </c>
      <c r="E161">
        <v>0.4</v>
      </c>
      <c r="F161">
        <f t="shared" si="8"/>
        <v>80</v>
      </c>
      <c r="G161" s="1">
        <f t="shared" si="9"/>
        <v>69.600000000000009</v>
      </c>
      <c r="H161" s="1">
        <f t="shared" si="10"/>
        <v>9.0610791384421798</v>
      </c>
      <c r="I161" s="1">
        <f t="shared" si="11"/>
        <v>0.17952000000000004</v>
      </c>
      <c r="J161">
        <v>6.78</v>
      </c>
      <c r="K161">
        <v>18.2904556327093</v>
      </c>
      <c r="L161">
        <v>31.5659894667956</v>
      </c>
      <c r="M161">
        <v>24.683951206742901</v>
      </c>
    </row>
    <row r="162" spans="1:13" x14ac:dyDescent="0.2">
      <c r="A162">
        <v>7</v>
      </c>
      <c r="B162">
        <v>80</v>
      </c>
      <c r="C162">
        <v>0.4</v>
      </c>
      <c r="D162">
        <v>9.9</v>
      </c>
      <c r="E162">
        <v>0.6</v>
      </c>
      <c r="F162">
        <f t="shared" si="8"/>
        <v>80</v>
      </c>
      <c r="G162" s="1">
        <f t="shared" si="9"/>
        <v>67.2</v>
      </c>
      <c r="H162" s="1">
        <f t="shared" si="10"/>
        <v>8.5727067862262789</v>
      </c>
      <c r="I162" s="1">
        <f t="shared" si="11"/>
        <v>0.17663999999999999</v>
      </c>
      <c r="J162">
        <v>6.78</v>
      </c>
      <c r="K162">
        <v>13.836661423312201</v>
      </c>
      <c r="L162">
        <v>14.644348410003101</v>
      </c>
      <c r="M162">
        <v>40.2504577246198</v>
      </c>
    </row>
    <row r="163" spans="1:13" x14ac:dyDescent="0.2">
      <c r="A163">
        <v>7</v>
      </c>
      <c r="B163">
        <v>80</v>
      </c>
      <c r="C163">
        <v>0.4</v>
      </c>
      <c r="D163">
        <v>9.9</v>
      </c>
      <c r="E163">
        <v>0.8</v>
      </c>
      <c r="F163">
        <f t="shared" si="8"/>
        <v>80</v>
      </c>
      <c r="G163" s="1">
        <f t="shared" si="9"/>
        <v>64.8</v>
      </c>
      <c r="H163" s="1">
        <f t="shared" si="10"/>
        <v>8.110559468922574</v>
      </c>
      <c r="I163" s="1">
        <f t="shared" si="11"/>
        <v>0.17376000000000003</v>
      </c>
      <c r="J163">
        <v>6.78</v>
      </c>
      <c r="K163">
        <v>11.4174767657857</v>
      </c>
      <c r="L163">
        <v>9.3771332120051394</v>
      </c>
      <c r="M163">
        <v>51.869207563253902</v>
      </c>
    </row>
    <row r="164" spans="1:13" x14ac:dyDescent="0.2">
      <c r="A164">
        <v>7</v>
      </c>
      <c r="B164">
        <v>80</v>
      </c>
      <c r="C164">
        <v>0.4</v>
      </c>
      <c r="D164">
        <v>9.9</v>
      </c>
      <c r="E164">
        <v>1</v>
      </c>
      <c r="F164">
        <f t="shared" si="8"/>
        <v>80</v>
      </c>
      <c r="G164" s="1">
        <f t="shared" si="9"/>
        <v>62.400000000000006</v>
      </c>
      <c r="H164" s="1">
        <f t="shared" si="10"/>
        <v>7.6729219727463658</v>
      </c>
      <c r="I164" s="1">
        <f t="shared" si="11"/>
        <v>0.17088000000000003</v>
      </c>
      <c r="J164">
        <v>6.78</v>
      </c>
      <c r="K164">
        <v>9.7691150360069408</v>
      </c>
      <c r="L164">
        <v>6.7187086673267098</v>
      </c>
      <c r="M164">
        <v>61.941108894879797</v>
      </c>
    </row>
    <row r="165" spans="1:13" x14ac:dyDescent="0.2">
      <c r="A165">
        <v>7</v>
      </c>
      <c r="B165">
        <v>80</v>
      </c>
      <c r="C165">
        <v>0.6</v>
      </c>
      <c r="D165">
        <v>9.9</v>
      </c>
      <c r="E165">
        <v>0.4</v>
      </c>
      <c r="F165">
        <f t="shared" si="8"/>
        <v>80</v>
      </c>
      <c r="G165" s="1">
        <f t="shared" si="9"/>
        <v>66.8</v>
      </c>
      <c r="H165" s="1">
        <f t="shared" si="10"/>
        <v>8.493909300216588</v>
      </c>
      <c r="I165" s="1">
        <f t="shared" si="11"/>
        <v>0.11744000000000003</v>
      </c>
      <c r="J165">
        <v>6.78</v>
      </c>
      <c r="K165">
        <v>17.367584899014499</v>
      </c>
      <c r="L165">
        <v>26.092594656138399</v>
      </c>
      <c r="M165">
        <v>28.355135379371301</v>
      </c>
    </row>
    <row r="166" spans="1:13" x14ac:dyDescent="0.2">
      <c r="A166">
        <v>7</v>
      </c>
      <c r="B166">
        <v>80</v>
      </c>
      <c r="C166">
        <v>0.6</v>
      </c>
      <c r="D166">
        <v>9.9</v>
      </c>
      <c r="E166">
        <v>0.6</v>
      </c>
      <c r="F166">
        <f t="shared" si="8"/>
        <v>80</v>
      </c>
      <c r="G166" s="1">
        <f t="shared" si="9"/>
        <v>64.399999999999991</v>
      </c>
      <c r="H166" s="1">
        <f t="shared" si="10"/>
        <v>8.035961908152391</v>
      </c>
      <c r="I166" s="1">
        <f t="shared" si="11"/>
        <v>0.11551999999999998</v>
      </c>
      <c r="J166">
        <v>6.78</v>
      </c>
      <c r="K166">
        <v>12.673156533808999</v>
      </c>
      <c r="L166">
        <v>12.177749165353699</v>
      </c>
      <c r="M166">
        <v>44.333022068917899</v>
      </c>
    </row>
    <row r="167" spans="1:13" x14ac:dyDescent="0.2">
      <c r="A167">
        <v>7</v>
      </c>
      <c r="B167">
        <v>80</v>
      </c>
      <c r="C167">
        <v>0.6</v>
      </c>
      <c r="D167">
        <v>9.9</v>
      </c>
      <c r="E167">
        <v>0.8</v>
      </c>
      <c r="F167">
        <f t="shared" si="8"/>
        <v>80</v>
      </c>
      <c r="G167" s="1">
        <f t="shared" si="9"/>
        <v>62</v>
      </c>
      <c r="H167" s="1">
        <f t="shared" si="10"/>
        <v>7.6022531382232916</v>
      </c>
      <c r="I167" s="1">
        <f t="shared" si="11"/>
        <v>0.11360000000000001</v>
      </c>
      <c r="J167">
        <v>6.78</v>
      </c>
      <c r="K167">
        <v>10.382313441268799</v>
      </c>
      <c r="L167">
        <v>7.7325506814277496</v>
      </c>
      <c r="M167">
        <v>57.198010496610202</v>
      </c>
    </row>
    <row r="168" spans="1:13" x14ac:dyDescent="0.2">
      <c r="A168">
        <v>7</v>
      </c>
      <c r="B168">
        <v>80</v>
      </c>
      <c r="C168">
        <v>0.6</v>
      </c>
      <c r="D168">
        <v>9.9</v>
      </c>
      <c r="E168">
        <v>1</v>
      </c>
      <c r="F168">
        <f t="shared" si="8"/>
        <v>80</v>
      </c>
      <c r="G168" s="1">
        <f t="shared" si="9"/>
        <v>59.599999999999994</v>
      </c>
      <c r="H168" s="1">
        <f t="shared" si="10"/>
        <v>7.1912370168240365</v>
      </c>
      <c r="I168" s="1">
        <f t="shared" si="11"/>
        <v>0.11168000000000002</v>
      </c>
      <c r="J168">
        <v>6.78</v>
      </c>
      <c r="K168">
        <v>9.0282629494238105</v>
      </c>
      <c r="L168">
        <v>5.6587398133989701</v>
      </c>
      <c r="M168">
        <v>67.966363831861798</v>
      </c>
    </row>
    <row r="169" spans="1:13" x14ac:dyDescent="0.2">
      <c r="A169">
        <v>7</v>
      </c>
      <c r="B169">
        <v>80</v>
      </c>
      <c r="C169">
        <v>0.8</v>
      </c>
      <c r="D169">
        <v>9.9</v>
      </c>
      <c r="E169">
        <v>0.4</v>
      </c>
      <c r="F169">
        <f t="shared" si="8"/>
        <v>80</v>
      </c>
      <c r="G169" s="1">
        <f t="shared" si="9"/>
        <v>63.999999999999993</v>
      </c>
      <c r="H169" s="1">
        <f t="shared" si="10"/>
        <v>7.9620373196930929</v>
      </c>
      <c r="I169" s="1">
        <f t="shared" si="11"/>
        <v>8.6400000000000005E-2</v>
      </c>
      <c r="J169">
        <v>6.78</v>
      </c>
      <c r="K169">
        <v>15.2859710243064</v>
      </c>
      <c r="L169">
        <v>20.5274351284638</v>
      </c>
      <c r="M169">
        <v>31.722536511062899</v>
      </c>
    </row>
    <row r="170" spans="1:13" x14ac:dyDescent="0.2">
      <c r="A170">
        <v>7</v>
      </c>
      <c r="B170">
        <v>80</v>
      </c>
      <c r="C170">
        <v>0.8</v>
      </c>
      <c r="D170">
        <v>9.9</v>
      </c>
      <c r="E170">
        <v>0.6</v>
      </c>
      <c r="F170">
        <f t="shared" si="8"/>
        <v>80</v>
      </c>
      <c r="G170" s="1">
        <f t="shared" si="9"/>
        <v>61.6</v>
      </c>
      <c r="H170" s="1">
        <f t="shared" si="10"/>
        <v>7.5322143658701348</v>
      </c>
      <c r="I170" s="1">
        <f t="shared" si="11"/>
        <v>8.4960000000000008E-2</v>
      </c>
      <c r="J170">
        <v>6.78</v>
      </c>
      <c r="K170">
        <v>11.333974832006501</v>
      </c>
      <c r="L170">
        <v>9.9822827982907096</v>
      </c>
      <c r="M170">
        <v>48.368423996914899</v>
      </c>
    </row>
    <row r="171" spans="1:13" x14ac:dyDescent="0.2">
      <c r="A171">
        <v>7</v>
      </c>
      <c r="B171">
        <v>80</v>
      </c>
      <c r="C171">
        <v>0.8</v>
      </c>
      <c r="D171">
        <v>9.9</v>
      </c>
      <c r="E171">
        <v>0.8</v>
      </c>
      <c r="F171">
        <f t="shared" si="8"/>
        <v>80</v>
      </c>
      <c r="G171" s="1">
        <f t="shared" si="9"/>
        <v>59.199999999999996</v>
      </c>
      <c r="H171" s="1">
        <f t="shared" si="10"/>
        <v>7.1248392899338704</v>
      </c>
      <c r="I171" s="1">
        <f t="shared" si="11"/>
        <v>8.3520000000000011E-2</v>
      </c>
      <c r="J171">
        <v>6.78</v>
      </c>
      <c r="K171">
        <v>9.4375019013683303</v>
      </c>
      <c r="L171">
        <v>6.4232433529602497</v>
      </c>
      <c r="M171">
        <v>62.591050154517198</v>
      </c>
    </row>
    <row r="172" spans="1:13" x14ac:dyDescent="0.2">
      <c r="A172">
        <v>7</v>
      </c>
      <c r="B172">
        <v>80</v>
      </c>
      <c r="C172">
        <v>0.8</v>
      </c>
      <c r="D172">
        <v>9.9</v>
      </c>
      <c r="E172">
        <v>1</v>
      </c>
      <c r="F172">
        <f t="shared" si="8"/>
        <v>80</v>
      </c>
      <c r="G172" s="1">
        <f t="shared" si="9"/>
        <v>56.8</v>
      </c>
      <c r="H172" s="1">
        <f t="shared" si="10"/>
        <v>6.7385149880801061</v>
      </c>
      <c r="I172" s="1">
        <f t="shared" si="11"/>
        <v>8.2080000000000014E-2</v>
      </c>
      <c r="J172">
        <v>6.78</v>
      </c>
      <c r="K172">
        <v>8.2546051379017094</v>
      </c>
      <c r="L172">
        <v>4.7090473286628596</v>
      </c>
      <c r="M172">
        <v>74.674583726236506</v>
      </c>
    </row>
    <row r="173" spans="1:13" x14ac:dyDescent="0.2">
      <c r="A173">
        <v>7</v>
      </c>
      <c r="B173">
        <v>80</v>
      </c>
      <c r="C173">
        <v>1</v>
      </c>
      <c r="D173">
        <v>9.9</v>
      </c>
      <c r="E173">
        <v>0.4</v>
      </c>
      <c r="F173">
        <f t="shared" si="8"/>
        <v>80</v>
      </c>
      <c r="G173" s="1">
        <f t="shared" si="9"/>
        <v>61.2</v>
      </c>
      <c r="H173" s="1">
        <f t="shared" si="10"/>
        <v>7.4627988616816587</v>
      </c>
      <c r="I173" s="1">
        <f t="shared" si="11"/>
        <v>6.7776000000000003E-2</v>
      </c>
      <c r="J173">
        <v>6.78</v>
      </c>
      <c r="K173">
        <v>13.4776402252484</v>
      </c>
      <c r="L173">
        <v>16.7553746408277</v>
      </c>
      <c r="M173">
        <v>34.2664629798007</v>
      </c>
    </row>
    <row r="174" spans="1:13" x14ac:dyDescent="0.2">
      <c r="A174">
        <v>7</v>
      </c>
      <c r="B174">
        <v>80</v>
      </c>
      <c r="C174">
        <v>1</v>
      </c>
      <c r="D174">
        <v>9.9</v>
      </c>
      <c r="E174">
        <v>0.6</v>
      </c>
      <c r="F174">
        <f t="shared" si="8"/>
        <v>80</v>
      </c>
      <c r="G174" s="1">
        <f t="shared" si="9"/>
        <v>58.8</v>
      </c>
      <c r="H174" s="1">
        <f t="shared" si="10"/>
        <v>7.059026051609754</v>
      </c>
      <c r="I174" s="1">
        <f t="shared" si="11"/>
        <v>6.6624000000000017E-2</v>
      </c>
      <c r="J174">
        <v>6.78</v>
      </c>
      <c r="K174">
        <v>10.2011896660311</v>
      </c>
      <c r="L174">
        <v>8.13439516706128</v>
      </c>
      <c r="M174">
        <v>53.423842086212403</v>
      </c>
    </row>
    <row r="175" spans="1:13" x14ac:dyDescent="0.2">
      <c r="A175">
        <v>7</v>
      </c>
      <c r="B175">
        <v>80</v>
      </c>
      <c r="C175">
        <v>1</v>
      </c>
      <c r="D175">
        <v>9.9</v>
      </c>
      <c r="E175">
        <v>0.8</v>
      </c>
      <c r="F175">
        <f t="shared" si="8"/>
        <v>80</v>
      </c>
      <c r="G175" s="1">
        <f t="shared" si="9"/>
        <v>56.4</v>
      </c>
      <c r="H175" s="1">
        <f t="shared" si="10"/>
        <v>6.6760825308104454</v>
      </c>
      <c r="I175" s="1">
        <f t="shared" si="11"/>
        <v>6.5472000000000016E-2</v>
      </c>
      <c r="J175">
        <v>6.78</v>
      </c>
      <c r="K175">
        <v>8.5887610991969492</v>
      </c>
      <c r="L175">
        <v>5.3441845075196799</v>
      </c>
      <c r="M175">
        <v>68.463428095090805</v>
      </c>
    </row>
    <row r="176" spans="1:13" x14ac:dyDescent="0.2">
      <c r="A176">
        <v>7</v>
      </c>
      <c r="B176">
        <v>80</v>
      </c>
      <c r="C176">
        <v>1</v>
      </c>
      <c r="D176">
        <v>9.9</v>
      </c>
      <c r="E176">
        <v>1</v>
      </c>
      <c r="F176">
        <f t="shared" si="8"/>
        <v>80</v>
      </c>
      <c r="G176" s="1">
        <f t="shared" si="9"/>
        <v>54</v>
      </c>
      <c r="H176" s="1">
        <f t="shared" si="10"/>
        <v>6.3127025678602786</v>
      </c>
      <c r="I176" s="1">
        <f t="shared" si="11"/>
        <v>6.4320000000000016E-2</v>
      </c>
      <c r="J176">
        <v>6.78</v>
      </c>
      <c r="K176">
        <v>7.5479474796511496</v>
      </c>
      <c r="L176">
        <v>4.0269784945626901</v>
      </c>
      <c r="M176">
        <v>79.847095226342205</v>
      </c>
    </row>
    <row r="177" spans="1:13" x14ac:dyDescent="0.2">
      <c r="A177">
        <v>7</v>
      </c>
      <c r="B177">
        <v>80</v>
      </c>
      <c r="C177">
        <v>0.4</v>
      </c>
      <c r="D177">
        <v>29.9</v>
      </c>
      <c r="E177">
        <v>0.4</v>
      </c>
      <c r="F177">
        <f t="shared" si="8"/>
        <v>80</v>
      </c>
      <c r="G177" s="1">
        <f t="shared" si="9"/>
        <v>69.600000000000009</v>
      </c>
      <c r="H177" s="1">
        <f t="shared" si="10"/>
        <v>9.0610791384421798</v>
      </c>
      <c r="I177" s="1">
        <f t="shared" si="11"/>
        <v>0.17952000000000004</v>
      </c>
      <c r="J177">
        <v>6.78</v>
      </c>
      <c r="K177">
        <v>16.603090217908601</v>
      </c>
      <c r="L177">
        <v>22.035351204220198</v>
      </c>
      <c r="M177">
        <v>32.098039948131799</v>
      </c>
    </row>
    <row r="178" spans="1:13" x14ac:dyDescent="0.2">
      <c r="A178">
        <v>7</v>
      </c>
      <c r="B178">
        <v>80</v>
      </c>
      <c r="C178">
        <v>0.4</v>
      </c>
      <c r="D178">
        <v>29.9</v>
      </c>
      <c r="E178">
        <v>0.6</v>
      </c>
      <c r="F178">
        <f t="shared" si="8"/>
        <v>80</v>
      </c>
      <c r="G178" s="1">
        <f t="shared" si="9"/>
        <v>67.2</v>
      </c>
      <c r="H178" s="1">
        <f t="shared" si="10"/>
        <v>8.5727067862262789</v>
      </c>
      <c r="I178" s="1">
        <f t="shared" si="11"/>
        <v>0.17663999999999999</v>
      </c>
      <c r="J178">
        <v>6.78</v>
      </c>
      <c r="K178">
        <v>12.392720195687099</v>
      </c>
      <c r="L178">
        <v>11.3976459154767</v>
      </c>
      <c r="M178">
        <v>46.319199545490001</v>
      </c>
    </row>
    <row r="179" spans="1:13" x14ac:dyDescent="0.2">
      <c r="A179">
        <v>7</v>
      </c>
      <c r="B179">
        <v>80</v>
      </c>
      <c r="C179">
        <v>0.4</v>
      </c>
      <c r="D179">
        <v>29.9</v>
      </c>
      <c r="E179">
        <v>0.8</v>
      </c>
      <c r="F179">
        <f t="shared" si="8"/>
        <v>80</v>
      </c>
      <c r="G179" s="1">
        <f t="shared" si="9"/>
        <v>64.8</v>
      </c>
      <c r="H179" s="1">
        <f t="shared" si="10"/>
        <v>8.110559468922574</v>
      </c>
      <c r="I179" s="1">
        <f t="shared" si="11"/>
        <v>0.17376000000000003</v>
      </c>
      <c r="J179">
        <v>6.78</v>
      </c>
      <c r="K179">
        <v>10.3605588493208</v>
      </c>
      <c r="L179">
        <v>7.4402163901960003</v>
      </c>
      <c r="M179">
        <v>59.320824335857601</v>
      </c>
    </row>
    <row r="180" spans="1:13" x14ac:dyDescent="0.2">
      <c r="A180">
        <v>7</v>
      </c>
      <c r="B180">
        <v>80</v>
      </c>
      <c r="C180">
        <v>0.4</v>
      </c>
      <c r="D180">
        <v>29.9</v>
      </c>
      <c r="E180">
        <v>1</v>
      </c>
      <c r="F180">
        <f t="shared" si="8"/>
        <v>80</v>
      </c>
      <c r="G180" s="1">
        <f t="shared" si="9"/>
        <v>62.400000000000006</v>
      </c>
      <c r="H180" s="1">
        <f t="shared" si="10"/>
        <v>7.6729219727463658</v>
      </c>
      <c r="I180" s="1">
        <f t="shared" si="11"/>
        <v>0.17088000000000003</v>
      </c>
      <c r="J180">
        <v>6.78</v>
      </c>
      <c r="K180">
        <v>9.0876691309220394</v>
      </c>
      <c r="L180">
        <v>5.5923547204788697</v>
      </c>
      <c r="M180">
        <v>69.2257003452562</v>
      </c>
    </row>
    <row r="181" spans="1:13" x14ac:dyDescent="0.2">
      <c r="A181">
        <v>7</v>
      </c>
      <c r="B181">
        <v>80</v>
      </c>
      <c r="C181">
        <v>0.6</v>
      </c>
      <c r="D181">
        <v>29.9</v>
      </c>
      <c r="E181">
        <v>0.4</v>
      </c>
      <c r="F181">
        <f t="shared" si="8"/>
        <v>80</v>
      </c>
      <c r="G181" s="1">
        <f t="shared" si="9"/>
        <v>66.8</v>
      </c>
      <c r="H181" s="1">
        <f t="shared" si="10"/>
        <v>8.493909300216588</v>
      </c>
      <c r="I181" s="1">
        <f t="shared" si="11"/>
        <v>0.11744000000000003</v>
      </c>
      <c r="J181">
        <v>6.78</v>
      </c>
      <c r="K181">
        <v>14.845284429863099</v>
      </c>
      <c r="L181">
        <v>18.133964276817998</v>
      </c>
      <c r="M181">
        <v>34.8742863589096</v>
      </c>
    </row>
    <row r="182" spans="1:13" x14ac:dyDescent="0.2">
      <c r="A182">
        <v>7</v>
      </c>
      <c r="B182">
        <v>80</v>
      </c>
      <c r="C182">
        <v>0.6</v>
      </c>
      <c r="D182">
        <v>29.9</v>
      </c>
      <c r="E182">
        <v>0.6</v>
      </c>
      <c r="F182">
        <f t="shared" si="8"/>
        <v>80</v>
      </c>
      <c r="G182" s="1">
        <f t="shared" si="9"/>
        <v>64.399999999999991</v>
      </c>
      <c r="H182" s="1">
        <f t="shared" si="10"/>
        <v>8.035961908152391</v>
      </c>
      <c r="I182" s="1">
        <f t="shared" si="11"/>
        <v>0.11551999999999998</v>
      </c>
      <c r="J182">
        <v>6.78</v>
      </c>
      <c r="K182">
        <v>11.268137579349601</v>
      </c>
      <c r="L182">
        <v>9.3674128206353693</v>
      </c>
      <c r="M182">
        <v>51.243884443992002</v>
      </c>
    </row>
    <row r="183" spans="1:13" x14ac:dyDescent="0.2">
      <c r="A183">
        <v>7</v>
      </c>
      <c r="B183">
        <v>80</v>
      </c>
      <c r="C183">
        <v>0.6</v>
      </c>
      <c r="D183">
        <v>29.9</v>
      </c>
      <c r="E183">
        <v>0.8</v>
      </c>
      <c r="F183">
        <f t="shared" si="8"/>
        <v>80</v>
      </c>
      <c r="G183" s="1">
        <f t="shared" si="9"/>
        <v>62</v>
      </c>
      <c r="H183" s="1">
        <f t="shared" si="10"/>
        <v>7.6022531382232916</v>
      </c>
      <c r="I183" s="1">
        <f t="shared" si="11"/>
        <v>0.11360000000000001</v>
      </c>
      <c r="J183">
        <v>6.78</v>
      </c>
      <c r="K183">
        <v>9.5382948906470002</v>
      </c>
      <c r="L183">
        <v>6.1842501888864803</v>
      </c>
      <c r="M183">
        <v>65.704218850763795</v>
      </c>
    </row>
    <row r="184" spans="1:13" x14ac:dyDescent="0.2">
      <c r="A184">
        <v>7</v>
      </c>
      <c r="B184">
        <v>80</v>
      </c>
      <c r="C184">
        <v>0.6</v>
      </c>
      <c r="D184">
        <v>29.9</v>
      </c>
      <c r="E184">
        <v>1</v>
      </c>
      <c r="F184">
        <f t="shared" si="8"/>
        <v>80</v>
      </c>
      <c r="G184" s="1">
        <f t="shared" si="9"/>
        <v>59.599999999999994</v>
      </c>
      <c r="H184" s="1">
        <f t="shared" si="10"/>
        <v>7.1912370168240365</v>
      </c>
      <c r="I184" s="1">
        <f t="shared" si="11"/>
        <v>0.11168000000000002</v>
      </c>
      <c r="J184">
        <v>6.78</v>
      </c>
      <c r="K184">
        <v>8.3600422112982393</v>
      </c>
      <c r="L184">
        <v>4.6463031373272399</v>
      </c>
      <c r="M184">
        <v>76.649705676587303</v>
      </c>
    </row>
    <row r="185" spans="1:13" x14ac:dyDescent="0.2">
      <c r="A185">
        <v>7</v>
      </c>
      <c r="B185">
        <v>80</v>
      </c>
      <c r="C185">
        <v>0.8</v>
      </c>
      <c r="D185">
        <v>29.9</v>
      </c>
      <c r="E185">
        <v>0.4</v>
      </c>
      <c r="F185">
        <f t="shared" si="8"/>
        <v>80</v>
      </c>
      <c r="G185" s="1">
        <f t="shared" si="9"/>
        <v>63.999999999999993</v>
      </c>
      <c r="H185" s="1">
        <f t="shared" si="10"/>
        <v>7.9620373196930929</v>
      </c>
      <c r="I185" s="1">
        <f t="shared" si="11"/>
        <v>8.6400000000000005E-2</v>
      </c>
      <c r="J185">
        <v>6.78</v>
      </c>
      <c r="K185">
        <v>13.2857160416753</v>
      </c>
      <c r="L185">
        <v>15.2188602642352</v>
      </c>
      <c r="M185">
        <v>37.188820022659598</v>
      </c>
    </row>
    <row r="186" spans="1:13" x14ac:dyDescent="0.2">
      <c r="A186">
        <v>7</v>
      </c>
      <c r="B186">
        <v>80</v>
      </c>
      <c r="C186">
        <v>0.8</v>
      </c>
      <c r="D186">
        <v>29.9</v>
      </c>
      <c r="E186">
        <v>0.6</v>
      </c>
      <c r="F186">
        <f t="shared" si="8"/>
        <v>80</v>
      </c>
      <c r="G186" s="1">
        <f t="shared" si="9"/>
        <v>61.6</v>
      </c>
      <c r="H186" s="1">
        <f t="shared" si="10"/>
        <v>7.5322143658701348</v>
      </c>
      <c r="I186" s="1">
        <f t="shared" si="11"/>
        <v>8.4960000000000008E-2</v>
      </c>
      <c r="J186">
        <v>6.78</v>
      </c>
      <c r="K186">
        <v>10.309557112203301</v>
      </c>
      <c r="L186">
        <v>7.92646377514499</v>
      </c>
      <c r="M186">
        <v>55.407696060382797</v>
      </c>
    </row>
    <row r="187" spans="1:13" x14ac:dyDescent="0.2">
      <c r="A187">
        <v>7</v>
      </c>
      <c r="B187">
        <v>80</v>
      </c>
      <c r="C187">
        <v>0.8</v>
      </c>
      <c r="D187">
        <v>29.9</v>
      </c>
      <c r="E187">
        <v>0.8</v>
      </c>
      <c r="F187">
        <f t="shared" si="8"/>
        <v>80</v>
      </c>
      <c r="G187" s="1">
        <f t="shared" si="9"/>
        <v>59.199999999999996</v>
      </c>
      <c r="H187" s="1">
        <f t="shared" si="10"/>
        <v>7.1248392899338704</v>
      </c>
      <c r="I187" s="1">
        <f t="shared" si="11"/>
        <v>8.3520000000000011E-2</v>
      </c>
      <c r="J187">
        <v>6.78</v>
      </c>
      <c r="K187">
        <v>8.7125575486227298</v>
      </c>
      <c r="L187">
        <v>5.2319599170725599</v>
      </c>
      <c r="M187">
        <v>70.939939513693901</v>
      </c>
    </row>
    <row r="188" spans="1:13" x14ac:dyDescent="0.2">
      <c r="A188">
        <v>7</v>
      </c>
      <c r="B188">
        <v>80</v>
      </c>
      <c r="C188">
        <v>0.8</v>
      </c>
      <c r="D188">
        <v>29.9</v>
      </c>
      <c r="E188">
        <v>1</v>
      </c>
      <c r="F188">
        <f t="shared" si="8"/>
        <v>80</v>
      </c>
      <c r="G188" s="1">
        <f t="shared" si="9"/>
        <v>56.8</v>
      </c>
      <c r="H188" s="1">
        <f t="shared" si="10"/>
        <v>6.7385149880801061</v>
      </c>
      <c r="I188" s="1">
        <f t="shared" si="11"/>
        <v>8.2080000000000014E-2</v>
      </c>
      <c r="J188">
        <v>6.78</v>
      </c>
      <c r="K188">
        <v>7.6682282907332704</v>
      </c>
      <c r="L188">
        <v>3.9547967918069999</v>
      </c>
      <c r="M188">
        <v>82.600071417961502</v>
      </c>
    </row>
    <row r="189" spans="1:13" x14ac:dyDescent="0.2">
      <c r="A189">
        <v>7</v>
      </c>
      <c r="B189">
        <v>80</v>
      </c>
      <c r="C189">
        <v>1</v>
      </c>
      <c r="D189">
        <v>29.9</v>
      </c>
      <c r="E189">
        <v>0.4</v>
      </c>
      <c r="F189">
        <f t="shared" si="8"/>
        <v>80</v>
      </c>
      <c r="G189" s="1">
        <f t="shared" si="9"/>
        <v>61.2</v>
      </c>
      <c r="H189" s="1">
        <f t="shared" si="10"/>
        <v>7.4627988616816587</v>
      </c>
      <c r="I189" s="1">
        <f t="shared" si="11"/>
        <v>6.7776000000000003E-2</v>
      </c>
      <c r="J189">
        <v>6.78</v>
      </c>
      <c r="K189">
        <v>11.853495196542299</v>
      </c>
      <c r="L189">
        <v>12.3162564941659</v>
      </c>
      <c r="M189">
        <v>40.999377751996498</v>
      </c>
    </row>
    <row r="190" spans="1:13" x14ac:dyDescent="0.2">
      <c r="A190">
        <v>7</v>
      </c>
      <c r="B190">
        <v>80</v>
      </c>
      <c r="C190">
        <v>1</v>
      </c>
      <c r="D190">
        <v>29.9</v>
      </c>
      <c r="E190">
        <v>0.6</v>
      </c>
      <c r="F190">
        <f t="shared" si="8"/>
        <v>80</v>
      </c>
      <c r="G190" s="1">
        <f t="shared" si="9"/>
        <v>58.8</v>
      </c>
      <c r="H190" s="1">
        <f t="shared" si="10"/>
        <v>7.059026051609754</v>
      </c>
      <c r="I190" s="1">
        <f t="shared" si="11"/>
        <v>6.6624000000000017E-2</v>
      </c>
      <c r="J190">
        <v>6.78</v>
      </c>
      <c r="K190">
        <v>9.2288367634503192</v>
      </c>
      <c r="L190">
        <v>6.47999189384422</v>
      </c>
      <c r="M190">
        <v>60.671127245202797</v>
      </c>
    </row>
    <row r="191" spans="1:13" x14ac:dyDescent="0.2">
      <c r="A191">
        <v>7</v>
      </c>
      <c r="B191">
        <v>80</v>
      </c>
      <c r="C191">
        <v>1</v>
      </c>
      <c r="D191">
        <v>29.9</v>
      </c>
      <c r="E191">
        <v>0.8</v>
      </c>
      <c r="F191">
        <f t="shared" si="8"/>
        <v>80</v>
      </c>
      <c r="G191" s="1">
        <f t="shared" si="9"/>
        <v>56.4</v>
      </c>
      <c r="H191" s="1">
        <f t="shared" si="10"/>
        <v>6.6760825308104454</v>
      </c>
      <c r="I191" s="1">
        <f t="shared" si="11"/>
        <v>6.5472000000000016E-2</v>
      </c>
      <c r="J191">
        <v>6.78</v>
      </c>
      <c r="K191">
        <v>7.9282313944571898</v>
      </c>
      <c r="L191">
        <v>4.4906240518168801</v>
      </c>
      <c r="M191">
        <v>75.210622137976301</v>
      </c>
    </row>
    <row r="192" spans="1:13" x14ac:dyDescent="0.2">
      <c r="A192">
        <v>7</v>
      </c>
      <c r="B192">
        <v>80</v>
      </c>
      <c r="C192">
        <v>1</v>
      </c>
      <c r="D192">
        <v>29.9</v>
      </c>
      <c r="E192">
        <v>1</v>
      </c>
      <c r="F192">
        <f t="shared" si="8"/>
        <v>80</v>
      </c>
      <c r="G192" s="1">
        <f t="shared" si="9"/>
        <v>54</v>
      </c>
      <c r="H192" s="1">
        <f t="shared" si="10"/>
        <v>6.3127025678602786</v>
      </c>
      <c r="I192" s="1">
        <f t="shared" si="11"/>
        <v>6.4320000000000016E-2</v>
      </c>
      <c r="J192">
        <v>6.78</v>
      </c>
      <c r="K192">
        <v>6.9745997566593196</v>
      </c>
      <c r="L192">
        <v>3.26981160231148</v>
      </c>
      <c r="M192">
        <v>90.866985790335207</v>
      </c>
    </row>
    <row r="193" spans="1:13" x14ac:dyDescent="0.2">
      <c r="A193">
        <v>7</v>
      </c>
      <c r="B193">
        <v>80</v>
      </c>
      <c r="C193">
        <v>1.2</v>
      </c>
      <c r="D193">
        <v>30</v>
      </c>
      <c r="E193">
        <v>1</v>
      </c>
      <c r="F193">
        <f t="shared" si="8"/>
        <v>80</v>
      </c>
      <c r="G193" s="1">
        <f t="shared" si="9"/>
        <v>51.199999999999996</v>
      </c>
      <c r="H193" s="1">
        <f t="shared" si="10"/>
        <v>5.9119360492908335</v>
      </c>
      <c r="I193" s="1">
        <f t="shared" si="11"/>
        <v>5.2480000000000006E-2</v>
      </c>
      <c r="J193">
        <v>6.78</v>
      </c>
      <c r="K193">
        <v>6.4032323030865603</v>
      </c>
      <c r="L193">
        <v>2.8901035178077099</v>
      </c>
      <c r="M193">
        <v>94.383357297819899</v>
      </c>
    </row>
    <row r="194" spans="1:13" x14ac:dyDescent="0.2">
      <c r="A194">
        <v>7</v>
      </c>
      <c r="B194">
        <v>80</v>
      </c>
      <c r="C194">
        <v>0.4</v>
      </c>
      <c r="D194">
        <v>49.9</v>
      </c>
      <c r="E194">
        <v>0.4</v>
      </c>
      <c r="F194">
        <f t="shared" si="8"/>
        <v>80</v>
      </c>
      <c r="G194" s="1">
        <f t="shared" si="9"/>
        <v>69.600000000000009</v>
      </c>
      <c r="H194" s="1">
        <f t="shared" si="10"/>
        <v>9.0610791384421798</v>
      </c>
      <c r="I194" s="1">
        <f t="shared" si="11"/>
        <v>0.17952000000000004</v>
      </c>
      <c r="J194">
        <v>6.78</v>
      </c>
      <c r="K194">
        <v>13.316732216758201</v>
      </c>
      <c r="L194">
        <v>21.682738122873399</v>
      </c>
      <c r="M194">
        <v>26.163335140064198</v>
      </c>
    </row>
    <row r="195" spans="1:13" x14ac:dyDescent="0.2">
      <c r="A195">
        <v>7</v>
      </c>
      <c r="B195">
        <v>80</v>
      </c>
      <c r="C195">
        <v>0.4</v>
      </c>
      <c r="D195">
        <v>49.9</v>
      </c>
      <c r="E195">
        <v>0.6</v>
      </c>
      <c r="F195">
        <f t="shared" ref="F195:F258" si="12">B195</f>
        <v>80</v>
      </c>
      <c r="G195" s="1">
        <f t="shared" ref="G195:G258" si="13">F195-(A195-1)*2*(C195+E195)-2*C195</f>
        <v>67.2</v>
      </c>
      <c r="H195" s="1">
        <f t="shared" ref="H195:H258" si="14">2.34*0.000001257*(0.5*A195^2*(F195+G195))/(1+2.73*(F195-G195)/(F195+G195))*1000</f>
        <v>8.5727067862262789</v>
      </c>
      <c r="I195" s="1">
        <f t="shared" ref="I195:I258" si="15">0.0000000168*4*0.5*(F195+G195)/(0.00007*C195)</f>
        <v>0.17663999999999999</v>
      </c>
      <c r="J195">
        <v>6.78</v>
      </c>
      <c r="K195">
        <v>11.523212673984199</v>
      </c>
      <c r="L195">
        <v>9.7002564924716292</v>
      </c>
      <c r="M195">
        <v>50.605756518864403</v>
      </c>
    </row>
    <row r="196" spans="1:13" x14ac:dyDescent="0.2">
      <c r="A196">
        <v>7</v>
      </c>
      <c r="B196">
        <v>80</v>
      </c>
      <c r="C196">
        <v>0.4</v>
      </c>
      <c r="D196">
        <v>49.9</v>
      </c>
      <c r="E196">
        <v>0.8</v>
      </c>
      <c r="F196">
        <f t="shared" si="12"/>
        <v>80</v>
      </c>
      <c r="G196" s="1">
        <f t="shared" si="13"/>
        <v>64.8</v>
      </c>
      <c r="H196" s="1">
        <f t="shared" si="14"/>
        <v>8.110559468922574</v>
      </c>
      <c r="I196" s="1">
        <f t="shared" si="15"/>
        <v>0.17376000000000003</v>
      </c>
      <c r="J196">
        <v>6.78</v>
      </c>
      <c r="K196">
        <v>9.6529510008956798</v>
      </c>
      <c r="L196">
        <v>6.5022779897088299</v>
      </c>
      <c r="M196">
        <v>63.241786704775201</v>
      </c>
    </row>
    <row r="197" spans="1:13" x14ac:dyDescent="0.2">
      <c r="A197">
        <v>7</v>
      </c>
      <c r="B197">
        <v>80</v>
      </c>
      <c r="C197">
        <v>0.4</v>
      </c>
      <c r="D197">
        <v>49.9</v>
      </c>
      <c r="E197">
        <v>1</v>
      </c>
      <c r="F197">
        <f t="shared" si="12"/>
        <v>80</v>
      </c>
      <c r="G197" s="1">
        <f t="shared" si="13"/>
        <v>62.400000000000006</v>
      </c>
      <c r="H197" s="1">
        <f t="shared" si="14"/>
        <v>7.6729219727463658</v>
      </c>
      <c r="I197" s="1">
        <f t="shared" si="15"/>
        <v>0.17088000000000003</v>
      </c>
      <c r="J197">
        <v>6.78</v>
      </c>
      <c r="K197">
        <v>8.4939025188908008</v>
      </c>
      <c r="L197">
        <v>4.9149928895948296</v>
      </c>
      <c r="M197">
        <v>73.619682613496593</v>
      </c>
    </row>
    <row r="198" spans="1:13" x14ac:dyDescent="0.2">
      <c r="A198">
        <v>7</v>
      </c>
      <c r="B198">
        <v>80</v>
      </c>
      <c r="C198">
        <v>0.6</v>
      </c>
      <c r="D198">
        <v>49.9</v>
      </c>
      <c r="E198">
        <v>0.4</v>
      </c>
      <c r="F198">
        <f t="shared" si="12"/>
        <v>80</v>
      </c>
      <c r="G198" s="1">
        <f t="shared" si="13"/>
        <v>66.8</v>
      </c>
      <c r="H198" s="1">
        <f t="shared" si="14"/>
        <v>8.493909300216588</v>
      </c>
      <c r="I198" s="1">
        <f t="shared" si="15"/>
        <v>0.11744000000000003</v>
      </c>
      <c r="J198">
        <v>6.78</v>
      </c>
      <c r="K198">
        <v>13.628597268313801</v>
      </c>
      <c r="L198">
        <v>15.698142269453999</v>
      </c>
      <c r="M198">
        <v>36.983879007189799</v>
      </c>
    </row>
    <row r="199" spans="1:13" x14ac:dyDescent="0.2">
      <c r="A199">
        <v>7</v>
      </c>
      <c r="B199">
        <v>80</v>
      </c>
      <c r="C199">
        <v>0.6</v>
      </c>
      <c r="D199">
        <v>49.9</v>
      </c>
      <c r="E199">
        <v>0.6</v>
      </c>
      <c r="F199">
        <f t="shared" si="12"/>
        <v>80</v>
      </c>
      <c r="G199" s="1">
        <f t="shared" si="13"/>
        <v>64.399999999999991</v>
      </c>
      <c r="H199" s="1">
        <f t="shared" si="14"/>
        <v>8.035961908152391</v>
      </c>
      <c r="I199" s="1">
        <f t="shared" si="15"/>
        <v>0.11551999999999998</v>
      </c>
      <c r="J199">
        <v>6.78</v>
      </c>
      <c r="K199">
        <v>10.2033333548731</v>
      </c>
      <c r="L199">
        <v>7.6388139197091096</v>
      </c>
      <c r="M199">
        <v>56.901761003415203</v>
      </c>
    </row>
    <row r="200" spans="1:13" x14ac:dyDescent="0.2">
      <c r="A200">
        <v>7</v>
      </c>
      <c r="B200">
        <v>80</v>
      </c>
      <c r="C200">
        <v>0.6</v>
      </c>
      <c r="D200">
        <v>49.9</v>
      </c>
      <c r="E200">
        <v>0.8</v>
      </c>
      <c r="F200">
        <f t="shared" si="12"/>
        <v>80</v>
      </c>
      <c r="G200" s="1">
        <f t="shared" si="13"/>
        <v>62</v>
      </c>
      <c r="H200" s="1">
        <f t="shared" si="14"/>
        <v>7.6022531382232916</v>
      </c>
      <c r="I200" s="1">
        <f t="shared" si="15"/>
        <v>0.11360000000000001</v>
      </c>
      <c r="J200">
        <v>6.78</v>
      </c>
      <c r="K200">
        <v>8.7142035465276795</v>
      </c>
      <c r="L200">
        <v>5.2083464592390696</v>
      </c>
      <c r="M200">
        <v>71.275027970053699</v>
      </c>
    </row>
    <row r="201" spans="1:13" x14ac:dyDescent="0.2">
      <c r="A201">
        <v>7</v>
      </c>
      <c r="B201">
        <v>80</v>
      </c>
      <c r="C201">
        <v>0.6</v>
      </c>
      <c r="D201">
        <v>49.9</v>
      </c>
      <c r="E201">
        <v>1</v>
      </c>
      <c r="F201">
        <f t="shared" si="12"/>
        <v>80</v>
      </c>
      <c r="G201" s="1">
        <f t="shared" si="13"/>
        <v>59.599999999999994</v>
      </c>
      <c r="H201" s="1">
        <f t="shared" si="14"/>
        <v>7.1912370168240365</v>
      </c>
      <c r="I201" s="1">
        <f t="shared" si="15"/>
        <v>0.11168000000000002</v>
      </c>
      <c r="J201">
        <v>6.78</v>
      </c>
      <c r="K201">
        <v>7.7748675992960701</v>
      </c>
      <c r="L201">
        <v>3.9159036216632899</v>
      </c>
      <c r="M201">
        <v>84.580562650601607</v>
      </c>
    </row>
    <row r="202" spans="1:13" x14ac:dyDescent="0.2">
      <c r="A202">
        <v>7</v>
      </c>
      <c r="B202">
        <v>80</v>
      </c>
      <c r="C202">
        <v>0.8</v>
      </c>
      <c r="D202">
        <v>49.9</v>
      </c>
      <c r="E202">
        <v>0.4</v>
      </c>
      <c r="F202">
        <f t="shared" si="12"/>
        <v>80</v>
      </c>
      <c r="G202" s="1">
        <f t="shared" si="13"/>
        <v>63.999999999999993</v>
      </c>
      <c r="H202" s="1">
        <f t="shared" si="14"/>
        <v>7.9620373196930929</v>
      </c>
      <c r="I202" s="1">
        <f t="shared" si="15"/>
        <v>8.6400000000000005E-2</v>
      </c>
      <c r="J202">
        <v>6.78</v>
      </c>
      <c r="K202">
        <v>12.110103852688701</v>
      </c>
      <c r="L202">
        <v>12.7086885117553</v>
      </c>
      <c r="M202">
        <v>40.593518350945303</v>
      </c>
    </row>
    <row r="203" spans="1:13" x14ac:dyDescent="0.2">
      <c r="A203">
        <v>7</v>
      </c>
      <c r="B203">
        <v>80</v>
      </c>
      <c r="C203">
        <v>0.8</v>
      </c>
      <c r="D203">
        <v>49.9</v>
      </c>
      <c r="E203">
        <v>0.6</v>
      </c>
      <c r="F203">
        <f t="shared" si="12"/>
        <v>80</v>
      </c>
      <c r="G203" s="1">
        <f t="shared" si="13"/>
        <v>61.6</v>
      </c>
      <c r="H203" s="1">
        <f t="shared" si="14"/>
        <v>7.5322143658701348</v>
      </c>
      <c r="I203" s="1">
        <f t="shared" si="15"/>
        <v>8.4960000000000008E-2</v>
      </c>
      <c r="J203">
        <v>6.78</v>
      </c>
      <c r="K203">
        <v>9.4262608082949093</v>
      </c>
      <c r="L203">
        <v>6.6334607180818796</v>
      </c>
      <c r="M203">
        <v>60.535321365655598</v>
      </c>
    </row>
    <row r="204" spans="1:13" x14ac:dyDescent="0.2">
      <c r="A204">
        <v>7</v>
      </c>
      <c r="B204">
        <v>80</v>
      </c>
      <c r="C204">
        <v>0.8</v>
      </c>
      <c r="D204">
        <v>49.9</v>
      </c>
      <c r="E204">
        <v>0.8</v>
      </c>
      <c r="F204">
        <f t="shared" si="12"/>
        <v>80</v>
      </c>
      <c r="G204" s="1">
        <f t="shared" si="13"/>
        <v>59.199999999999996</v>
      </c>
      <c r="H204" s="1">
        <f t="shared" si="14"/>
        <v>7.1248392899338704</v>
      </c>
      <c r="I204" s="1">
        <f t="shared" si="15"/>
        <v>8.3520000000000011E-2</v>
      </c>
      <c r="J204">
        <v>6.78</v>
      </c>
      <c r="K204">
        <v>8.0681431551512492</v>
      </c>
      <c r="L204">
        <v>4.5687212408182498</v>
      </c>
      <c r="M204">
        <v>75.229555735121096</v>
      </c>
    </row>
    <row r="205" spans="1:13" x14ac:dyDescent="0.2">
      <c r="A205">
        <v>7</v>
      </c>
      <c r="B205">
        <v>80</v>
      </c>
      <c r="C205">
        <v>0.8</v>
      </c>
      <c r="D205">
        <v>49.9</v>
      </c>
      <c r="E205">
        <v>1</v>
      </c>
      <c r="F205">
        <f t="shared" si="12"/>
        <v>80</v>
      </c>
      <c r="G205" s="1">
        <f t="shared" si="13"/>
        <v>56.8</v>
      </c>
      <c r="H205" s="1">
        <f t="shared" si="14"/>
        <v>6.7385149880801061</v>
      </c>
      <c r="I205" s="1">
        <f t="shared" si="15"/>
        <v>8.2080000000000014E-2</v>
      </c>
      <c r="J205">
        <v>6.78</v>
      </c>
      <c r="K205">
        <v>7.1277998718692803</v>
      </c>
      <c r="L205">
        <v>3.4706447527153901</v>
      </c>
      <c r="M205">
        <v>87.489291008684802</v>
      </c>
    </row>
    <row r="206" spans="1:13" x14ac:dyDescent="0.2">
      <c r="A206">
        <v>7</v>
      </c>
      <c r="B206">
        <v>80</v>
      </c>
      <c r="C206">
        <v>1</v>
      </c>
      <c r="D206">
        <v>49.9</v>
      </c>
      <c r="E206">
        <v>0.4</v>
      </c>
      <c r="F206">
        <f t="shared" si="12"/>
        <v>80</v>
      </c>
      <c r="G206" s="1">
        <f t="shared" si="13"/>
        <v>61.2</v>
      </c>
      <c r="H206" s="1">
        <f t="shared" si="14"/>
        <v>7.4627988616816587</v>
      </c>
      <c r="I206" s="1">
        <f t="shared" si="15"/>
        <v>6.7776000000000003E-2</v>
      </c>
      <c r="J206">
        <v>6.78</v>
      </c>
      <c r="K206">
        <v>10.650488168095601</v>
      </c>
      <c r="L206">
        <v>9.9849763295005491</v>
      </c>
      <c r="M206">
        <v>45.4393423141263</v>
      </c>
    </row>
    <row r="207" spans="1:13" x14ac:dyDescent="0.2">
      <c r="A207">
        <v>7</v>
      </c>
      <c r="B207">
        <v>80</v>
      </c>
      <c r="C207">
        <v>1</v>
      </c>
      <c r="D207">
        <v>49.9</v>
      </c>
      <c r="E207">
        <v>0.6</v>
      </c>
      <c r="F207">
        <f t="shared" si="12"/>
        <v>80</v>
      </c>
      <c r="G207" s="1">
        <f t="shared" si="13"/>
        <v>58.8</v>
      </c>
      <c r="H207" s="1">
        <f t="shared" si="14"/>
        <v>7.059026051609754</v>
      </c>
      <c r="I207" s="1">
        <f t="shared" si="15"/>
        <v>6.6624000000000017E-2</v>
      </c>
      <c r="J207">
        <v>6.78</v>
      </c>
      <c r="K207">
        <v>8.4878364610614003</v>
      </c>
      <c r="L207">
        <v>5.38685855754649</v>
      </c>
      <c r="M207">
        <v>67.1229434883587</v>
      </c>
    </row>
    <row r="208" spans="1:13" x14ac:dyDescent="0.2">
      <c r="A208">
        <v>7</v>
      </c>
      <c r="B208">
        <v>80</v>
      </c>
      <c r="C208">
        <v>1</v>
      </c>
      <c r="D208">
        <v>49.9</v>
      </c>
      <c r="E208">
        <v>0.8</v>
      </c>
      <c r="F208">
        <f t="shared" si="12"/>
        <v>80</v>
      </c>
      <c r="G208" s="1">
        <f t="shared" si="13"/>
        <v>56.4</v>
      </c>
      <c r="H208" s="1">
        <f t="shared" si="14"/>
        <v>6.6760825308104454</v>
      </c>
      <c r="I208" s="1">
        <f t="shared" si="15"/>
        <v>6.5472000000000016E-2</v>
      </c>
      <c r="J208">
        <v>6.78</v>
      </c>
      <c r="K208">
        <v>7.3336523425316598</v>
      </c>
      <c r="L208">
        <v>3.8263597526585098</v>
      </c>
      <c r="M208">
        <v>81.647723543663801</v>
      </c>
    </row>
    <row r="209" spans="1:13" x14ac:dyDescent="0.2">
      <c r="A209">
        <v>7</v>
      </c>
      <c r="B209">
        <v>80</v>
      </c>
      <c r="C209">
        <v>1</v>
      </c>
      <c r="D209">
        <v>49.9</v>
      </c>
      <c r="E209">
        <v>1</v>
      </c>
      <c r="F209">
        <f t="shared" si="12"/>
        <v>80</v>
      </c>
      <c r="G209" s="1">
        <f t="shared" si="13"/>
        <v>54</v>
      </c>
      <c r="H209" s="1">
        <f t="shared" si="14"/>
        <v>6.3127025678602786</v>
      </c>
      <c r="I209" s="1">
        <f t="shared" si="15"/>
        <v>6.4320000000000016E-2</v>
      </c>
      <c r="J209">
        <v>6.78</v>
      </c>
      <c r="K209">
        <v>6.5432734498036504</v>
      </c>
      <c r="L209">
        <v>2.8876869927254898</v>
      </c>
      <c r="M209">
        <v>96.528268470475297</v>
      </c>
    </row>
    <row r="210" spans="1:13" x14ac:dyDescent="0.2">
      <c r="A210">
        <v>7</v>
      </c>
      <c r="B210">
        <v>80</v>
      </c>
      <c r="C210">
        <v>0.4</v>
      </c>
      <c r="D210">
        <v>69.900000000000006</v>
      </c>
      <c r="E210">
        <v>0.4</v>
      </c>
      <c r="F210">
        <f t="shared" si="12"/>
        <v>80</v>
      </c>
      <c r="G210" s="1">
        <f t="shared" si="13"/>
        <v>69.600000000000009</v>
      </c>
      <c r="H210" s="1">
        <f t="shared" si="14"/>
        <v>9.0610791384421798</v>
      </c>
      <c r="I210" s="1">
        <f t="shared" si="15"/>
        <v>0.17952000000000004</v>
      </c>
      <c r="J210">
        <v>6.78</v>
      </c>
      <c r="K210">
        <v>16.074309224233399</v>
      </c>
      <c r="L210">
        <v>23.166714601846301</v>
      </c>
      <c r="M210">
        <v>29.558162500599401</v>
      </c>
    </row>
    <row r="211" spans="1:13" x14ac:dyDescent="0.2">
      <c r="A211">
        <v>7</v>
      </c>
      <c r="B211">
        <v>80</v>
      </c>
      <c r="C211">
        <v>0.4</v>
      </c>
      <c r="D211">
        <v>69.900000000000006</v>
      </c>
      <c r="E211">
        <v>0.6</v>
      </c>
      <c r="F211">
        <f t="shared" si="12"/>
        <v>80</v>
      </c>
      <c r="G211" s="1">
        <f t="shared" si="13"/>
        <v>67.2</v>
      </c>
      <c r="H211" s="1">
        <f t="shared" si="14"/>
        <v>8.5727067862262789</v>
      </c>
      <c r="I211" s="1">
        <f t="shared" si="15"/>
        <v>0.17663999999999999</v>
      </c>
      <c r="J211">
        <v>6.78</v>
      </c>
      <c r="K211">
        <v>12.3982336183602</v>
      </c>
      <c r="L211">
        <v>13.3820825801818</v>
      </c>
      <c r="M211">
        <v>39.468050217828001</v>
      </c>
    </row>
    <row r="212" spans="1:13" x14ac:dyDescent="0.2">
      <c r="A212">
        <v>7</v>
      </c>
      <c r="B212">
        <v>80</v>
      </c>
      <c r="C212">
        <v>0.4</v>
      </c>
      <c r="D212">
        <v>69.900000000000006</v>
      </c>
      <c r="E212">
        <v>0.8</v>
      </c>
      <c r="F212">
        <f t="shared" si="12"/>
        <v>80</v>
      </c>
      <c r="G212" s="1">
        <f t="shared" si="13"/>
        <v>64.8</v>
      </c>
      <c r="H212" s="1">
        <f t="shared" si="14"/>
        <v>8.110559468922574</v>
      </c>
      <c r="I212" s="1">
        <f t="shared" si="15"/>
        <v>0.17376000000000003</v>
      </c>
      <c r="J212">
        <v>6.78</v>
      </c>
      <c r="K212">
        <v>9.2666509686641607</v>
      </c>
      <c r="L212">
        <v>6.3127847401064896</v>
      </c>
      <c r="M212">
        <v>62.533305664081503</v>
      </c>
    </row>
    <row r="213" spans="1:13" x14ac:dyDescent="0.2">
      <c r="A213">
        <v>7</v>
      </c>
      <c r="B213">
        <v>80</v>
      </c>
      <c r="C213">
        <v>0.4</v>
      </c>
      <c r="D213">
        <v>69.900000000000006</v>
      </c>
      <c r="E213">
        <v>1</v>
      </c>
      <c r="F213">
        <f t="shared" si="12"/>
        <v>80</v>
      </c>
      <c r="G213" s="1">
        <f t="shared" si="13"/>
        <v>62.400000000000006</v>
      </c>
      <c r="H213" s="1">
        <f t="shared" si="14"/>
        <v>7.6729219727463658</v>
      </c>
      <c r="I213" s="1">
        <f t="shared" si="15"/>
        <v>0.17088000000000003</v>
      </c>
      <c r="J213">
        <v>6.78</v>
      </c>
      <c r="K213">
        <v>8.0266729111383999</v>
      </c>
      <c r="L213">
        <v>4.6007833007956096</v>
      </c>
      <c r="M213">
        <v>74.321308921526693</v>
      </c>
    </row>
    <row r="214" spans="1:13" x14ac:dyDescent="0.2">
      <c r="A214">
        <v>7</v>
      </c>
      <c r="B214">
        <v>80</v>
      </c>
      <c r="C214">
        <v>0.6</v>
      </c>
      <c r="D214">
        <v>69.900000000000006</v>
      </c>
      <c r="E214">
        <v>0.4</v>
      </c>
      <c r="F214">
        <f t="shared" si="12"/>
        <v>80</v>
      </c>
      <c r="G214" s="1">
        <f t="shared" si="13"/>
        <v>66.8</v>
      </c>
      <c r="H214" s="1">
        <f t="shared" si="14"/>
        <v>8.493909300216588</v>
      </c>
      <c r="I214" s="1">
        <f t="shared" si="15"/>
        <v>0.11744000000000003</v>
      </c>
      <c r="J214">
        <v>6.78</v>
      </c>
      <c r="K214">
        <v>12.535425091106699</v>
      </c>
      <c r="L214">
        <v>13.5447581660406</v>
      </c>
      <c r="M214">
        <v>39.425514799912698</v>
      </c>
    </row>
    <row r="215" spans="1:13" x14ac:dyDescent="0.2">
      <c r="A215">
        <v>7</v>
      </c>
      <c r="B215">
        <v>80</v>
      </c>
      <c r="C215">
        <v>0.6</v>
      </c>
      <c r="D215">
        <v>69.900000000000006</v>
      </c>
      <c r="E215">
        <v>0.6</v>
      </c>
      <c r="F215">
        <f t="shared" si="12"/>
        <v>80</v>
      </c>
      <c r="G215" s="1">
        <f t="shared" si="13"/>
        <v>64.399999999999991</v>
      </c>
      <c r="H215" s="1">
        <f t="shared" si="14"/>
        <v>8.035961908152391</v>
      </c>
      <c r="I215" s="1">
        <f t="shared" si="15"/>
        <v>0.11551999999999998</v>
      </c>
      <c r="J215">
        <v>6.78</v>
      </c>
      <c r="K215">
        <v>9.9854176329400701</v>
      </c>
      <c r="L215">
        <v>7.7547444994093802</v>
      </c>
      <c r="M215">
        <v>54.854000035097201</v>
      </c>
    </row>
    <row r="216" spans="1:13" x14ac:dyDescent="0.2">
      <c r="A216">
        <v>7</v>
      </c>
      <c r="B216">
        <v>80</v>
      </c>
      <c r="C216">
        <v>0.6</v>
      </c>
      <c r="D216">
        <v>69.900000000000006</v>
      </c>
      <c r="E216">
        <v>0.8</v>
      </c>
      <c r="F216">
        <f t="shared" si="12"/>
        <v>80</v>
      </c>
      <c r="G216" s="1">
        <f t="shared" si="13"/>
        <v>62</v>
      </c>
      <c r="H216" s="1">
        <f t="shared" si="14"/>
        <v>7.6022531382232916</v>
      </c>
      <c r="I216" s="1">
        <f t="shared" si="15"/>
        <v>0.11360000000000001</v>
      </c>
      <c r="J216">
        <v>6.78</v>
      </c>
      <c r="K216">
        <v>8.2905727341837405</v>
      </c>
      <c r="L216">
        <v>4.8469722228539203</v>
      </c>
      <c r="M216">
        <v>72.865771093402202</v>
      </c>
    </row>
    <row r="217" spans="1:13" x14ac:dyDescent="0.2">
      <c r="A217">
        <v>7</v>
      </c>
      <c r="B217">
        <v>80</v>
      </c>
      <c r="C217">
        <v>0.6</v>
      </c>
      <c r="D217">
        <v>69.900000000000006</v>
      </c>
      <c r="E217">
        <v>1</v>
      </c>
      <c r="F217">
        <f t="shared" si="12"/>
        <v>80</v>
      </c>
      <c r="G217" s="1">
        <f t="shared" si="13"/>
        <v>59.599999999999994</v>
      </c>
      <c r="H217" s="1">
        <f t="shared" si="14"/>
        <v>7.1912370168240365</v>
      </c>
      <c r="I217" s="1">
        <f t="shared" si="15"/>
        <v>0.11168000000000002</v>
      </c>
      <c r="J217">
        <v>6.78</v>
      </c>
      <c r="K217">
        <v>7.30185593934441</v>
      </c>
      <c r="L217">
        <v>3.6617753586809001</v>
      </c>
      <c r="M217">
        <v>84.947602224009501</v>
      </c>
    </row>
    <row r="218" spans="1:13" x14ac:dyDescent="0.2">
      <c r="A218">
        <v>7</v>
      </c>
      <c r="B218">
        <v>80</v>
      </c>
      <c r="C218">
        <v>0.8</v>
      </c>
      <c r="D218">
        <v>69.900000000000006</v>
      </c>
      <c r="E218">
        <v>0.4</v>
      </c>
      <c r="F218">
        <f t="shared" si="12"/>
        <v>80</v>
      </c>
      <c r="G218" s="1">
        <f t="shared" si="13"/>
        <v>63.999999999999993</v>
      </c>
      <c r="H218" s="1">
        <f t="shared" si="14"/>
        <v>7.9620373196930929</v>
      </c>
      <c r="I218" s="1">
        <f t="shared" si="15"/>
        <v>8.6400000000000005E-2</v>
      </c>
      <c r="J218">
        <v>6.78</v>
      </c>
      <c r="K218">
        <v>10.8748234168077</v>
      </c>
      <c r="L218">
        <v>10.205348170364701</v>
      </c>
      <c r="M218">
        <v>45.394574539215299</v>
      </c>
    </row>
    <row r="219" spans="1:13" x14ac:dyDescent="0.2">
      <c r="A219">
        <v>7</v>
      </c>
      <c r="B219">
        <v>80</v>
      </c>
      <c r="C219">
        <v>0.8</v>
      </c>
      <c r="D219">
        <v>69.900000000000006</v>
      </c>
      <c r="E219">
        <v>0.6</v>
      </c>
      <c r="F219">
        <f t="shared" si="12"/>
        <v>80</v>
      </c>
      <c r="G219" s="1">
        <f t="shared" si="13"/>
        <v>61.6</v>
      </c>
      <c r="H219" s="1">
        <f t="shared" si="14"/>
        <v>7.5322143658701348</v>
      </c>
      <c r="I219" s="1">
        <f t="shared" si="15"/>
        <v>8.4960000000000008E-2</v>
      </c>
      <c r="J219">
        <v>6.78</v>
      </c>
      <c r="K219">
        <v>8.9100282204872396</v>
      </c>
      <c r="L219">
        <v>6.1399326229572999</v>
      </c>
      <c r="M219">
        <v>61.819435695939703</v>
      </c>
    </row>
    <row r="220" spans="1:13" x14ac:dyDescent="0.2">
      <c r="A220">
        <v>7</v>
      </c>
      <c r="B220">
        <v>80</v>
      </c>
      <c r="C220">
        <v>0.8</v>
      </c>
      <c r="D220">
        <v>69.900000000000006</v>
      </c>
      <c r="E220">
        <v>0.8</v>
      </c>
      <c r="F220">
        <f t="shared" si="12"/>
        <v>80</v>
      </c>
      <c r="G220" s="1">
        <f t="shared" si="13"/>
        <v>59.199999999999996</v>
      </c>
      <c r="H220" s="1">
        <f t="shared" si="14"/>
        <v>7.1248392899338704</v>
      </c>
      <c r="I220" s="1">
        <f t="shared" si="15"/>
        <v>8.3520000000000011E-2</v>
      </c>
      <c r="J220">
        <v>6.78</v>
      </c>
      <c r="K220">
        <v>7.4497968375616601</v>
      </c>
      <c r="L220">
        <v>3.9716304689088902</v>
      </c>
      <c r="M220">
        <v>79.907061046139304</v>
      </c>
    </row>
    <row r="221" spans="1:13" x14ac:dyDescent="0.2">
      <c r="A221">
        <v>7</v>
      </c>
      <c r="B221">
        <v>80</v>
      </c>
      <c r="C221">
        <v>0.8</v>
      </c>
      <c r="D221">
        <v>69.900000000000006</v>
      </c>
      <c r="E221">
        <v>1</v>
      </c>
      <c r="F221">
        <f t="shared" si="12"/>
        <v>80</v>
      </c>
      <c r="G221" s="1">
        <f t="shared" si="13"/>
        <v>56.8</v>
      </c>
      <c r="H221" s="1">
        <f t="shared" si="14"/>
        <v>6.7385149880801061</v>
      </c>
      <c r="I221" s="1">
        <f t="shared" si="15"/>
        <v>8.2080000000000014E-2</v>
      </c>
      <c r="J221">
        <v>6.78</v>
      </c>
      <c r="K221">
        <v>6.6990385782485902</v>
      </c>
      <c r="L221">
        <v>3.0802360317218298</v>
      </c>
      <c r="M221">
        <v>92.648425725116496</v>
      </c>
    </row>
    <row r="222" spans="1:13" x14ac:dyDescent="0.2">
      <c r="A222">
        <v>7</v>
      </c>
      <c r="B222">
        <v>80</v>
      </c>
      <c r="C222">
        <v>1</v>
      </c>
      <c r="D222">
        <v>69.900000000000006</v>
      </c>
      <c r="E222">
        <v>0.4</v>
      </c>
      <c r="F222">
        <f t="shared" si="12"/>
        <v>80</v>
      </c>
      <c r="G222" s="1">
        <f t="shared" si="13"/>
        <v>61.2</v>
      </c>
      <c r="H222" s="1">
        <f t="shared" si="14"/>
        <v>7.4627988616816587</v>
      </c>
      <c r="I222" s="1">
        <f t="shared" si="15"/>
        <v>6.7776000000000003E-2</v>
      </c>
      <c r="J222">
        <v>6.78</v>
      </c>
      <c r="K222">
        <v>9.8308928571400607</v>
      </c>
      <c r="L222">
        <v>8.6112176626449894</v>
      </c>
      <c r="M222">
        <v>48.633772430276899</v>
      </c>
    </row>
    <row r="223" spans="1:13" x14ac:dyDescent="0.2">
      <c r="A223">
        <v>7</v>
      </c>
      <c r="B223">
        <v>80</v>
      </c>
      <c r="C223">
        <v>1</v>
      </c>
      <c r="D223">
        <v>69.900000000000006</v>
      </c>
      <c r="E223">
        <v>0.6</v>
      </c>
      <c r="F223">
        <f t="shared" si="12"/>
        <v>80</v>
      </c>
      <c r="G223" s="1">
        <f t="shared" si="13"/>
        <v>58.8</v>
      </c>
      <c r="H223" s="1">
        <f t="shared" si="14"/>
        <v>7.059026051609754</v>
      </c>
      <c r="I223" s="1">
        <f t="shared" si="15"/>
        <v>6.6624000000000017E-2</v>
      </c>
      <c r="J223">
        <v>6.78</v>
      </c>
      <c r="K223">
        <v>8.0017831206472305</v>
      </c>
      <c r="L223">
        <v>5.03557819972779</v>
      </c>
      <c r="M223">
        <v>67.693503799219997</v>
      </c>
    </row>
    <row r="224" spans="1:13" x14ac:dyDescent="0.2">
      <c r="A224">
        <v>7</v>
      </c>
      <c r="B224">
        <v>80</v>
      </c>
      <c r="C224">
        <v>1</v>
      </c>
      <c r="D224">
        <v>69.900000000000006</v>
      </c>
      <c r="E224">
        <v>0.8</v>
      </c>
      <c r="F224">
        <f t="shared" si="12"/>
        <v>80</v>
      </c>
      <c r="G224" s="1">
        <f t="shared" si="13"/>
        <v>56.4</v>
      </c>
      <c r="H224" s="1">
        <f t="shared" si="14"/>
        <v>6.6760825308104454</v>
      </c>
      <c r="I224" s="1">
        <f t="shared" si="15"/>
        <v>6.5472000000000016E-2</v>
      </c>
      <c r="J224">
        <v>6.78</v>
      </c>
      <c r="K224">
        <v>6.8745706622363896</v>
      </c>
      <c r="L224">
        <v>3.4145973227256001</v>
      </c>
      <c r="M224">
        <v>85.766097043023294</v>
      </c>
    </row>
    <row r="225" spans="1:13" x14ac:dyDescent="0.2">
      <c r="A225">
        <v>7</v>
      </c>
      <c r="B225">
        <v>80</v>
      </c>
      <c r="C225">
        <v>1</v>
      </c>
      <c r="D225">
        <v>69.900000000000006</v>
      </c>
      <c r="E225">
        <v>1</v>
      </c>
      <c r="F225">
        <f t="shared" si="12"/>
        <v>80</v>
      </c>
      <c r="G225" s="1">
        <f t="shared" si="13"/>
        <v>54</v>
      </c>
      <c r="H225" s="1">
        <f t="shared" si="14"/>
        <v>6.3127025678602786</v>
      </c>
      <c r="I225" s="1">
        <f t="shared" si="15"/>
        <v>6.4320000000000016E-2</v>
      </c>
      <c r="J225">
        <v>6.78</v>
      </c>
      <c r="K225">
        <v>6.1393385314665503</v>
      </c>
      <c r="L225">
        <v>2.5987823296199299</v>
      </c>
      <c r="M225">
        <v>100.63782420390601</v>
      </c>
    </row>
    <row r="226" spans="1:13" x14ac:dyDescent="0.2">
      <c r="A226">
        <v>7</v>
      </c>
      <c r="B226">
        <v>80</v>
      </c>
      <c r="C226">
        <v>0.4</v>
      </c>
      <c r="D226">
        <v>89.9</v>
      </c>
      <c r="E226">
        <v>0.4</v>
      </c>
      <c r="F226">
        <f t="shared" si="12"/>
        <v>80</v>
      </c>
      <c r="G226" s="1">
        <f t="shared" si="13"/>
        <v>69.600000000000009</v>
      </c>
      <c r="H226" s="1">
        <f t="shared" si="14"/>
        <v>9.0610791384421798</v>
      </c>
      <c r="I226" s="1">
        <f t="shared" si="15"/>
        <v>0.17952000000000004</v>
      </c>
      <c r="J226">
        <v>6.78</v>
      </c>
      <c r="K226">
        <v>13.729266568418501</v>
      </c>
      <c r="L226">
        <v>20.1084870982789</v>
      </c>
      <c r="M226">
        <v>29.085564880786201</v>
      </c>
    </row>
    <row r="227" spans="1:13" x14ac:dyDescent="0.2">
      <c r="A227">
        <v>7</v>
      </c>
      <c r="B227">
        <v>80</v>
      </c>
      <c r="C227">
        <v>0.4</v>
      </c>
      <c r="D227">
        <v>89.9</v>
      </c>
      <c r="E227">
        <v>0.6</v>
      </c>
      <c r="F227">
        <f t="shared" si="12"/>
        <v>80</v>
      </c>
      <c r="G227" s="1">
        <f t="shared" si="13"/>
        <v>67.2</v>
      </c>
      <c r="H227" s="1">
        <f t="shared" si="14"/>
        <v>8.5727067862262789</v>
      </c>
      <c r="I227" s="1">
        <f t="shared" si="15"/>
        <v>0.17663999999999999</v>
      </c>
      <c r="J227">
        <v>6.78</v>
      </c>
      <c r="K227">
        <v>11.352418957382</v>
      </c>
      <c r="L227">
        <v>14.683461403709501</v>
      </c>
      <c r="M227">
        <v>32.935899323911599</v>
      </c>
    </row>
    <row r="228" spans="1:13" x14ac:dyDescent="0.2">
      <c r="A228">
        <v>7</v>
      </c>
      <c r="B228">
        <v>80</v>
      </c>
      <c r="C228">
        <v>0.4</v>
      </c>
      <c r="D228">
        <v>89.9</v>
      </c>
      <c r="E228">
        <v>0.8</v>
      </c>
      <c r="F228">
        <f t="shared" si="12"/>
        <v>80</v>
      </c>
      <c r="G228" s="1">
        <f t="shared" si="13"/>
        <v>64.8</v>
      </c>
      <c r="H228" s="1">
        <f t="shared" si="14"/>
        <v>8.110559468922574</v>
      </c>
      <c r="I228" s="1">
        <f t="shared" si="15"/>
        <v>0.17376000000000003</v>
      </c>
      <c r="J228">
        <v>6.78</v>
      </c>
      <c r="K228">
        <v>9.2937290903366705</v>
      </c>
      <c r="L228">
        <v>8.8345193643842492</v>
      </c>
      <c r="M228">
        <v>44.814302770790498</v>
      </c>
    </row>
    <row r="229" spans="1:13" x14ac:dyDescent="0.2">
      <c r="A229">
        <v>7</v>
      </c>
      <c r="B229">
        <v>80</v>
      </c>
      <c r="C229">
        <v>0.4</v>
      </c>
      <c r="D229">
        <v>89.9</v>
      </c>
      <c r="E229">
        <v>1</v>
      </c>
      <c r="F229">
        <f t="shared" si="12"/>
        <v>80</v>
      </c>
      <c r="G229" s="1">
        <f t="shared" si="13"/>
        <v>62.400000000000006</v>
      </c>
      <c r="H229" s="1">
        <f t="shared" si="14"/>
        <v>7.6729219727463658</v>
      </c>
      <c r="I229" s="1">
        <f t="shared" si="15"/>
        <v>0.17088000000000003</v>
      </c>
      <c r="J229">
        <v>6.78</v>
      </c>
      <c r="K229">
        <v>7.51815656517803</v>
      </c>
      <c r="L229">
        <v>4.7675386210829203</v>
      </c>
      <c r="M229">
        <v>67.177943994974697</v>
      </c>
    </row>
    <row r="230" spans="1:13" x14ac:dyDescent="0.2">
      <c r="A230">
        <v>7</v>
      </c>
      <c r="B230">
        <v>80</v>
      </c>
      <c r="C230">
        <v>0.6</v>
      </c>
      <c r="D230">
        <v>89.9</v>
      </c>
      <c r="E230">
        <v>0.4</v>
      </c>
      <c r="F230">
        <f t="shared" si="12"/>
        <v>80</v>
      </c>
      <c r="G230" s="1">
        <f t="shared" si="13"/>
        <v>66.8</v>
      </c>
      <c r="H230" s="1">
        <f t="shared" si="14"/>
        <v>8.493909300216588</v>
      </c>
      <c r="I230" s="1">
        <f t="shared" si="15"/>
        <v>0.11744000000000003</v>
      </c>
      <c r="J230">
        <v>6.78</v>
      </c>
      <c r="K230">
        <v>10.0823159557021</v>
      </c>
      <c r="L230">
        <v>8.6229176642814807</v>
      </c>
      <c r="M230">
        <v>49.809894975694498</v>
      </c>
    </row>
    <row r="231" spans="1:13" x14ac:dyDescent="0.2">
      <c r="A231">
        <v>7</v>
      </c>
      <c r="B231">
        <v>80</v>
      </c>
      <c r="C231">
        <v>0.6</v>
      </c>
      <c r="D231">
        <v>89.9</v>
      </c>
      <c r="E231">
        <v>0.6</v>
      </c>
      <c r="F231">
        <f t="shared" si="12"/>
        <v>80</v>
      </c>
      <c r="G231" s="1">
        <f t="shared" si="13"/>
        <v>64.399999999999991</v>
      </c>
      <c r="H231" s="1">
        <f t="shared" si="14"/>
        <v>8.035961908152391</v>
      </c>
      <c r="I231" s="1">
        <f t="shared" si="15"/>
        <v>0.11551999999999998</v>
      </c>
      <c r="J231">
        <v>6.78</v>
      </c>
      <c r="K231">
        <v>8.9595896296014192</v>
      </c>
      <c r="L231">
        <v>6.6275366688985899</v>
      </c>
      <c r="M231">
        <v>57.589796160980903</v>
      </c>
    </row>
    <row r="232" spans="1:13" x14ac:dyDescent="0.2">
      <c r="A232">
        <v>7</v>
      </c>
      <c r="B232">
        <v>80</v>
      </c>
      <c r="C232">
        <v>0.6</v>
      </c>
      <c r="D232">
        <v>89.9</v>
      </c>
      <c r="E232">
        <v>0.8</v>
      </c>
      <c r="F232">
        <f t="shared" si="12"/>
        <v>80</v>
      </c>
      <c r="G232" s="1">
        <f t="shared" si="13"/>
        <v>62</v>
      </c>
      <c r="H232" s="1">
        <f t="shared" si="14"/>
        <v>7.6022531382232916</v>
      </c>
      <c r="I232" s="1">
        <f t="shared" si="15"/>
        <v>0.11360000000000001</v>
      </c>
      <c r="J232">
        <v>6.78</v>
      </c>
      <c r="K232">
        <v>8.0410150817528798</v>
      </c>
      <c r="L232">
        <v>5.21711417604135</v>
      </c>
      <c r="M232">
        <v>65.658370094489101</v>
      </c>
    </row>
    <row r="233" spans="1:13" x14ac:dyDescent="0.2">
      <c r="A233">
        <v>7</v>
      </c>
      <c r="B233">
        <v>80</v>
      </c>
      <c r="C233">
        <v>0.6</v>
      </c>
      <c r="D233">
        <v>89.9</v>
      </c>
      <c r="E233">
        <v>1</v>
      </c>
      <c r="F233">
        <f t="shared" si="12"/>
        <v>80</v>
      </c>
      <c r="G233" s="1">
        <f t="shared" si="13"/>
        <v>59.599999999999994</v>
      </c>
      <c r="H233" s="1">
        <f t="shared" si="14"/>
        <v>7.1912370168240365</v>
      </c>
      <c r="I233" s="1">
        <f t="shared" si="15"/>
        <v>0.11168000000000002</v>
      </c>
      <c r="J233">
        <v>6.78</v>
      </c>
      <c r="K233">
        <v>6.9691993349435499</v>
      </c>
      <c r="L233">
        <v>3.6575459673344501</v>
      </c>
      <c r="M233">
        <v>81.171328839134205</v>
      </c>
    </row>
    <row r="234" spans="1:13" x14ac:dyDescent="0.2">
      <c r="A234">
        <v>7</v>
      </c>
      <c r="B234">
        <v>80</v>
      </c>
      <c r="C234">
        <v>0.8</v>
      </c>
      <c r="D234">
        <v>89.9</v>
      </c>
      <c r="E234">
        <v>0.4</v>
      </c>
      <c r="F234">
        <f t="shared" si="12"/>
        <v>80</v>
      </c>
      <c r="G234" s="1">
        <f t="shared" si="13"/>
        <v>63.999999999999993</v>
      </c>
      <c r="H234" s="1">
        <f t="shared" si="14"/>
        <v>7.9620373196930929</v>
      </c>
      <c r="I234" s="1">
        <f t="shared" si="15"/>
        <v>8.6400000000000005E-2</v>
      </c>
      <c r="J234">
        <v>6.78</v>
      </c>
      <c r="K234">
        <v>10.121235393074301</v>
      </c>
      <c r="L234">
        <v>9.4354820891868005</v>
      </c>
      <c r="M234">
        <v>45.696084954399602</v>
      </c>
    </row>
    <row r="235" spans="1:13" x14ac:dyDescent="0.2">
      <c r="A235">
        <v>7</v>
      </c>
      <c r="B235">
        <v>80</v>
      </c>
      <c r="C235">
        <v>0.8</v>
      </c>
      <c r="D235">
        <v>89.9</v>
      </c>
      <c r="E235">
        <v>0.6</v>
      </c>
      <c r="F235">
        <f t="shared" si="12"/>
        <v>80</v>
      </c>
      <c r="G235" s="1">
        <f t="shared" si="13"/>
        <v>61.6</v>
      </c>
      <c r="H235" s="1">
        <f t="shared" si="14"/>
        <v>7.5322143658701348</v>
      </c>
      <c r="I235" s="1">
        <f t="shared" si="15"/>
        <v>8.4960000000000008E-2</v>
      </c>
      <c r="J235">
        <v>6.78</v>
      </c>
      <c r="K235">
        <v>8.15645135536864</v>
      </c>
      <c r="L235">
        <v>5.2249391074862199</v>
      </c>
      <c r="M235">
        <v>66.501214863221506</v>
      </c>
    </row>
    <row r="236" spans="1:13" x14ac:dyDescent="0.2">
      <c r="A236">
        <v>7</v>
      </c>
      <c r="B236">
        <v>80</v>
      </c>
      <c r="C236">
        <v>0.8</v>
      </c>
      <c r="D236">
        <v>89.9</v>
      </c>
      <c r="E236">
        <v>0.8</v>
      </c>
      <c r="F236">
        <f t="shared" si="12"/>
        <v>80</v>
      </c>
      <c r="G236" s="1">
        <f t="shared" si="13"/>
        <v>59.199999999999996</v>
      </c>
      <c r="H236" s="1">
        <f t="shared" si="14"/>
        <v>7.1248392899338704</v>
      </c>
      <c r="I236" s="1">
        <f t="shared" si="15"/>
        <v>8.3520000000000011E-2</v>
      </c>
      <c r="J236">
        <v>6.78</v>
      </c>
      <c r="K236">
        <v>7.0962362244649402</v>
      </c>
      <c r="L236">
        <v>3.7898279678778501</v>
      </c>
      <c r="M236">
        <v>79.766057999225694</v>
      </c>
    </row>
    <row r="237" spans="1:13" x14ac:dyDescent="0.2">
      <c r="A237">
        <v>7</v>
      </c>
      <c r="B237">
        <v>80</v>
      </c>
      <c r="C237">
        <v>0.8</v>
      </c>
      <c r="D237">
        <v>89.9</v>
      </c>
      <c r="E237">
        <v>1</v>
      </c>
      <c r="F237">
        <f t="shared" si="12"/>
        <v>80</v>
      </c>
      <c r="G237" s="1">
        <f t="shared" si="13"/>
        <v>56.8</v>
      </c>
      <c r="H237" s="1">
        <f t="shared" si="14"/>
        <v>6.7385149880801061</v>
      </c>
      <c r="I237" s="1">
        <f t="shared" si="15"/>
        <v>8.2080000000000014E-2</v>
      </c>
      <c r="J237">
        <v>6.78</v>
      </c>
      <c r="K237">
        <v>6.2984343191996999</v>
      </c>
      <c r="L237">
        <v>3.0312179908798602</v>
      </c>
      <c r="M237">
        <v>88.516655688150493</v>
      </c>
    </row>
    <row r="238" spans="1:13" x14ac:dyDescent="0.2">
      <c r="A238">
        <v>7</v>
      </c>
      <c r="B238">
        <v>80</v>
      </c>
      <c r="C238">
        <v>1</v>
      </c>
      <c r="D238">
        <v>89.9</v>
      </c>
      <c r="E238">
        <v>0.4</v>
      </c>
      <c r="F238">
        <f t="shared" si="12"/>
        <v>80</v>
      </c>
      <c r="G238" s="1">
        <f t="shared" si="13"/>
        <v>61.2</v>
      </c>
      <c r="H238" s="1">
        <f t="shared" si="14"/>
        <v>7.4627988616816587</v>
      </c>
      <c r="I238" s="1">
        <f t="shared" si="15"/>
        <v>6.7776000000000003E-2</v>
      </c>
      <c r="J238">
        <v>6.78</v>
      </c>
      <c r="K238">
        <v>8.8551088187067695</v>
      </c>
      <c r="L238">
        <v>7.4110317546460696</v>
      </c>
      <c r="M238">
        <v>50.900821388147001</v>
      </c>
    </row>
    <row r="239" spans="1:13" x14ac:dyDescent="0.2">
      <c r="A239">
        <v>7</v>
      </c>
      <c r="B239">
        <v>80</v>
      </c>
      <c r="C239">
        <v>1</v>
      </c>
      <c r="D239">
        <v>89.9</v>
      </c>
      <c r="E239">
        <v>0.6</v>
      </c>
      <c r="F239">
        <f t="shared" si="12"/>
        <v>80</v>
      </c>
      <c r="G239" s="1">
        <f t="shared" si="13"/>
        <v>58.8</v>
      </c>
      <c r="H239" s="1">
        <f t="shared" si="14"/>
        <v>7.059026051609754</v>
      </c>
      <c r="I239" s="1">
        <f t="shared" si="15"/>
        <v>6.6624000000000017E-2</v>
      </c>
      <c r="J239">
        <v>6.78</v>
      </c>
      <c r="K239">
        <v>7.3711026728504399</v>
      </c>
      <c r="L239">
        <v>4.4338493447624403</v>
      </c>
      <c r="M239">
        <v>70.820842744849301</v>
      </c>
    </row>
    <row r="240" spans="1:13" x14ac:dyDescent="0.2">
      <c r="A240">
        <v>7</v>
      </c>
      <c r="B240">
        <v>80</v>
      </c>
      <c r="C240">
        <v>1</v>
      </c>
      <c r="D240">
        <v>89.9</v>
      </c>
      <c r="E240">
        <v>0.8</v>
      </c>
      <c r="F240">
        <f t="shared" si="12"/>
        <v>80</v>
      </c>
      <c r="G240" s="1">
        <f t="shared" si="13"/>
        <v>56.4</v>
      </c>
      <c r="H240" s="1">
        <f t="shared" si="14"/>
        <v>6.6760825308104454</v>
      </c>
      <c r="I240" s="1">
        <f t="shared" si="15"/>
        <v>6.5472000000000016E-2</v>
      </c>
      <c r="J240">
        <v>6.78</v>
      </c>
      <c r="K240">
        <v>6.3761222581979604</v>
      </c>
      <c r="L240">
        <v>3.04156114922203</v>
      </c>
      <c r="M240">
        <v>89.303739694406104</v>
      </c>
    </row>
    <row r="241" spans="1:13" x14ac:dyDescent="0.2">
      <c r="A241">
        <v>7</v>
      </c>
      <c r="B241">
        <v>80</v>
      </c>
      <c r="C241">
        <v>1</v>
      </c>
      <c r="D241">
        <v>89.9</v>
      </c>
      <c r="E241">
        <v>1</v>
      </c>
      <c r="F241">
        <f t="shared" si="12"/>
        <v>80</v>
      </c>
      <c r="G241" s="1">
        <f t="shared" si="13"/>
        <v>54</v>
      </c>
      <c r="H241" s="1">
        <f t="shared" si="14"/>
        <v>6.3127025678602786</v>
      </c>
      <c r="I241" s="1">
        <f t="shared" si="15"/>
        <v>6.4320000000000016E-2</v>
      </c>
      <c r="J241">
        <v>6.78</v>
      </c>
      <c r="K241">
        <v>5.7874273612585796</v>
      </c>
      <c r="L241">
        <v>2.6139914643769102</v>
      </c>
      <c r="M241">
        <v>94.317211059980494</v>
      </c>
    </row>
    <row r="242" spans="1:13" x14ac:dyDescent="0.2">
      <c r="A242">
        <v>7</v>
      </c>
      <c r="B242">
        <v>85</v>
      </c>
      <c r="C242">
        <v>0.4</v>
      </c>
      <c r="D242">
        <v>9.9</v>
      </c>
      <c r="E242">
        <v>0.4</v>
      </c>
      <c r="F242">
        <f t="shared" si="12"/>
        <v>85</v>
      </c>
      <c r="G242" s="1">
        <f t="shared" si="13"/>
        <v>74.600000000000009</v>
      </c>
      <c r="H242" s="1">
        <f t="shared" si="14"/>
        <v>9.7643564541554984</v>
      </c>
      <c r="I242" s="1">
        <f t="shared" si="15"/>
        <v>0.19152000000000005</v>
      </c>
      <c r="J242">
        <v>6.78</v>
      </c>
      <c r="K242">
        <v>23.236538404646598</v>
      </c>
      <c r="L242">
        <v>63.149788298953702</v>
      </c>
      <c r="M242">
        <v>15.675055746786899</v>
      </c>
    </row>
    <row r="243" spans="1:13" x14ac:dyDescent="0.2">
      <c r="A243">
        <v>7</v>
      </c>
      <c r="B243">
        <v>85</v>
      </c>
      <c r="C243">
        <v>0.4</v>
      </c>
      <c r="D243">
        <v>9.9</v>
      </c>
      <c r="E243">
        <v>0.6</v>
      </c>
      <c r="F243">
        <f t="shared" si="12"/>
        <v>85</v>
      </c>
      <c r="G243" s="1">
        <f t="shared" si="13"/>
        <v>72.2</v>
      </c>
      <c r="H243" s="1">
        <f t="shared" si="14"/>
        <v>9.2682016743192595</v>
      </c>
      <c r="I243" s="1">
        <f t="shared" si="15"/>
        <v>0.18864</v>
      </c>
      <c r="J243">
        <v>6.78</v>
      </c>
      <c r="K243">
        <v>14.2580824234877</v>
      </c>
      <c r="L243">
        <v>21.136266036934099</v>
      </c>
      <c r="M243">
        <v>28.7370654117959</v>
      </c>
    </row>
    <row r="244" spans="1:13" x14ac:dyDescent="0.2">
      <c r="A244">
        <v>7</v>
      </c>
      <c r="B244">
        <v>85</v>
      </c>
      <c r="C244">
        <v>0.4</v>
      </c>
      <c r="D244">
        <v>9.9</v>
      </c>
      <c r="E244">
        <v>0.8</v>
      </c>
      <c r="F244">
        <f t="shared" si="12"/>
        <v>85</v>
      </c>
      <c r="G244" s="1">
        <f t="shared" si="13"/>
        <v>69.8</v>
      </c>
      <c r="H244" s="1">
        <f t="shared" si="14"/>
        <v>8.7972651586502018</v>
      </c>
      <c r="I244" s="1">
        <f t="shared" si="15"/>
        <v>0.18576000000000004</v>
      </c>
      <c r="J244">
        <v>6.78</v>
      </c>
      <c r="K244">
        <v>13.7444368032781</v>
      </c>
      <c r="L244">
        <v>13.291115137080601</v>
      </c>
      <c r="M244">
        <v>44.052959594645003</v>
      </c>
    </row>
    <row r="245" spans="1:13" x14ac:dyDescent="0.2">
      <c r="A245">
        <v>7</v>
      </c>
      <c r="B245">
        <v>85</v>
      </c>
      <c r="C245">
        <v>0.4</v>
      </c>
      <c r="D245">
        <v>9.9</v>
      </c>
      <c r="E245">
        <v>1</v>
      </c>
      <c r="F245">
        <f t="shared" si="12"/>
        <v>85</v>
      </c>
      <c r="G245" s="1">
        <f t="shared" si="13"/>
        <v>67.400000000000006</v>
      </c>
      <c r="H245" s="1">
        <f t="shared" si="14"/>
        <v>8.3499798239224141</v>
      </c>
      <c r="I245" s="1">
        <f t="shared" si="15"/>
        <v>0.18288000000000004</v>
      </c>
      <c r="J245">
        <v>6.78</v>
      </c>
      <c r="K245">
        <v>11.688626648179</v>
      </c>
      <c r="L245">
        <v>9.2071762754715305</v>
      </c>
      <c r="M245">
        <v>54.081233815129899</v>
      </c>
    </row>
    <row r="246" spans="1:13" x14ac:dyDescent="0.2">
      <c r="A246">
        <v>7</v>
      </c>
      <c r="B246">
        <v>85</v>
      </c>
      <c r="C246">
        <v>0.6</v>
      </c>
      <c r="D246">
        <v>9.9</v>
      </c>
      <c r="E246">
        <v>0.4</v>
      </c>
      <c r="F246">
        <f t="shared" si="12"/>
        <v>85</v>
      </c>
      <c r="G246" s="1">
        <f t="shared" si="13"/>
        <v>71.8</v>
      </c>
      <c r="H246" s="1">
        <f t="shared" si="14"/>
        <v>9.1880049781907953</v>
      </c>
      <c r="I246" s="1">
        <f t="shared" si="15"/>
        <v>0.12544000000000002</v>
      </c>
      <c r="J246">
        <v>6.78</v>
      </c>
      <c r="K246">
        <v>19.558400131615802</v>
      </c>
      <c r="L246">
        <v>44.385221356190897</v>
      </c>
      <c r="M246">
        <v>18.771738641821099</v>
      </c>
    </row>
    <row r="247" spans="1:13" x14ac:dyDescent="0.2">
      <c r="A247">
        <v>7</v>
      </c>
      <c r="B247">
        <v>85</v>
      </c>
      <c r="C247">
        <v>0.6</v>
      </c>
      <c r="D247">
        <v>9.9</v>
      </c>
      <c r="E247">
        <v>0.6</v>
      </c>
      <c r="F247">
        <f t="shared" si="12"/>
        <v>85</v>
      </c>
      <c r="G247" s="1">
        <f t="shared" si="13"/>
        <v>69.399999999999991</v>
      </c>
      <c r="H247" s="1">
        <f t="shared" si="14"/>
        <v>8.7211155479602773</v>
      </c>
      <c r="I247" s="1">
        <f t="shared" si="15"/>
        <v>0.12352</v>
      </c>
      <c r="J247">
        <v>6.78</v>
      </c>
      <c r="K247">
        <v>15.7020427519377</v>
      </c>
      <c r="L247">
        <v>18.356367891379001</v>
      </c>
      <c r="M247">
        <v>36.440050035570799</v>
      </c>
    </row>
    <row r="248" spans="1:13" x14ac:dyDescent="0.2">
      <c r="A248">
        <v>7</v>
      </c>
      <c r="B248">
        <v>85</v>
      </c>
      <c r="C248">
        <v>0.6</v>
      </c>
      <c r="D248">
        <v>9.9</v>
      </c>
      <c r="E248">
        <v>0.8</v>
      </c>
      <c r="F248">
        <f t="shared" si="12"/>
        <v>85</v>
      </c>
      <c r="G248" s="1">
        <f t="shared" si="13"/>
        <v>67</v>
      </c>
      <c r="H248" s="1">
        <f t="shared" si="14"/>
        <v>8.2776288467733909</v>
      </c>
      <c r="I248" s="1">
        <f t="shared" si="15"/>
        <v>0.12160000000000003</v>
      </c>
      <c r="J248">
        <v>6.78</v>
      </c>
      <c r="K248">
        <v>12.618960703650799</v>
      </c>
      <c r="L248">
        <v>11.2518789134035</v>
      </c>
      <c r="M248">
        <v>47.7758145520311</v>
      </c>
    </row>
    <row r="249" spans="1:13" x14ac:dyDescent="0.2">
      <c r="A249">
        <v>7</v>
      </c>
      <c r="B249">
        <v>85</v>
      </c>
      <c r="C249">
        <v>0.6</v>
      </c>
      <c r="D249">
        <v>9.9</v>
      </c>
      <c r="E249">
        <v>1</v>
      </c>
      <c r="F249">
        <f t="shared" si="12"/>
        <v>85</v>
      </c>
      <c r="G249" s="1">
        <f t="shared" si="13"/>
        <v>64.599999999999994</v>
      </c>
      <c r="H249" s="1">
        <f t="shared" si="14"/>
        <v>7.8561249245445515</v>
      </c>
      <c r="I249" s="1">
        <f t="shared" si="15"/>
        <v>0.11968000000000001</v>
      </c>
      <c r="J249">
        <v>6.78</v>
      </c>
      <c r="K249">
        <v>10.718950739344701</v>
      </c>
      <c r="L249">
        <v>7.5851551444863698</v>
      </c>
      <c r="M249">
        <v>60.200121688230297</v>
      </c>
    </row>
    <row r="250" spans="1:13" x14ac:dyDescent="0.2">
      <c r="A250">
        <v>7</v>
      </c>
      <c r="B250">
        <v>85</v>
      </c>
      <c r="C250">
        <v>0.8</v>
      </c>
      <c r="D250">
        <v>9.9</v>
      </c>
      <c r="E250">
        <v>0.4</v>
      </c>
      <c r="F250">
        <f t="shared" si="12"/>
        <v>85</v>
      </c>
      <c r="G250" s="1">
        <f t="shared" si="13"/>
        <v>69</v>
      </c>
      <c r="H250" s="1">
        <f t="shared" si="14"/>
        <v>8.6456157322946154</v>
      </c>
      <c r="I250" s="1">
        <f t="shared" si="15"/>
        <v>9.240000000000001E-2</v>
      </c>
      <c r="J250">
        <v>6.78</v>
      </c>
      <c r="K250">
        <v>21.065354833370499</v>
      </c>
      <c r="L250">
        <v>42.704785516874203</v>
      </c>
      <c r="M250">
        <v>21.013664600816501</v>
      </c>
    </row>
    <row r="251" spans="1:13" x14ac:dyDescent="0.2">
      <c r="A251">
        <v>7</v>
      </c>
      <c r="B251">
        <v>85</v>
      </c>
      <c r="C251">
        <v>0.8</v>
      </c>
      <c r="D251">
        <v>9.9</v>
      </c>
      <c r="E251">
        <v>0.6</v>
      </c>
      <c r="F251">
        <f t="shared" si="12"/>
        <v>85</v>
      </c>
      <c r="G251" s="1">
        <f t="shared" si="13"/>
        <v>66.600000000000009</v>
      </c>
      <c r="H251" s="1">
        <f t="shared" si="14"/>
        <v>8.2058882494034666</v>
      </c>
      <c r="I251" s="1">
        <f t="shared" si="15"/>
        <v>9.0960000000000013E-2</v>
      </c>
      <c r="J251">
        <v>6.78</v>
      </c>
      <c r="K251">
        <v>14.2577519196756</v>
      </c>
      <c r="L251">
        <v>15.5370647601121</v>
      </c>
      <c r="M251">
        <v>39.092337554169603</v>
      </c>
    </row>
    <row r="252" spans="1:13" x14ac:dyDescent="0.2">
      <c r="A252">
        <v>7</v>
      </c>
      <c r="B252">
        <v>85</v>
      </c>
      <c r="C252">
        <v>0.8</v>
      </c>
      <c r="D252">
        <v>9.9</v>
      </c>
      <c r="E252">
        <v>0.8</v>
      </c>
      <c r="F252">
        <f t="shared" si="12"/>
        <v>85</v>
      </c>
      <c r="G252" s="1">
        <f t="shared" si="13"/>
        <v>64.2</v>
      </c>
      <c r="H252" s="1">
        <f t="shared" si="14"/>
        <v>7.7879181462560192</v>
      </c>
      <c r="I252" s="1">
        <f t="shared" si="15"/>
        <v>8.9520000000000002E-2</v>
      </c>
      <c r="J252">
        <v>6.78</v>
      </c>
      <c r="K252">
        <v>11.5115151087474</v>
      </c>
      <c r="L252">
        <v>9.3089482253350297</v>
      </c>
      <c r="M252">
        <v>52.679474643240802</v>
      </c>
    </row>
    <row r="253" spans="1:13" x14ac:dyDescent="0.2">
      <c r="A253">
        <v>7</v>
      </c>
      <c r="B253">
        <v>85</v>
      </c>
      <c r="C253">
        <v>0.8</v>
      </c>
      <c r="D253">
        <v>9.9</v>
      </c>
      <c r="E253">
        <v>1</v>
      </c>
      <c r="F253">
        <f t="shared" si="12"/>
        <v>85</v>
      </c>
      <c r="G253" s="1">
        <f t="shared" si="13"/>
        <v>61.8</v>
      </c>
      <c r="H253" s="1">
        <f t="shared" si="14"/>
        <v>7.390415734640424</v>
      </c>
      <c r="I253" s="1">
        <f t="shared" si="15"/>
        <v>8.8080000000000019E-2</v>
      </c>
      <c r="J253">
        <v>6.78</v>
      </c>
      <c r="K253">
        <v>9.7641531327220097</v>
      </c>
      <c r="L253">
        <v>6.4375575226176602</v>
      </c>
      <c r="M253">
        <v>64.613463518184105</v>
      </c>
    </row>
    <row r="254" spans="1:13" x14ac:dyDescent="0.2">
      <c r="A254">
        <v>7</v>
      </c>
      <c r="B254">
        <v>85</v>
      </c>
      <c r="C254">
        <v>1</v>
      </c>
      <c r="D254">
        <v>9.9</v>
      </c>
      <c r="E254">
        <v>0.4</v>
      </c>
      <c r="F254">
        <f t="shared" si="12"/>
        <v>85</v>
      </c>
      <c r="G254" s="1">
        <f t="shared" si="13"/>
        <v>66.2</v>
      </c>
      <c r="H254" s="1">
        <f t="shared" si="14"/>
        <v>8.1347517750311056</v>
      </c>
      <c r="I254" s="1">
        <f t="shared" si="15"/>
        <v>7.2576000000000002E-2</v>
      </c>
      <c r="J254">
        <v>6.78</v>
      </c>
      <c r="K254">
        <v>14.586062270851199</v>
      </c>
      <c r="L254">
        <v>26.1078053010337</v>
      </c>
      <c r="M254">
        <v>23.800016616148501</v>
      </c>
    </row>
    <row r="255" spans="1:13" x14ac:dyDescent="0.2">
      <c r="A255">
        <v>7</v>
      </c>
      <c r="B255">
        <v>85</v>
      </c>
      <c r="C255">
        <v>1</v>
      </c>
      <c r="D255">
        <v>9.9</v>
      </c>
      <c r="E255">
        <v>0.6</v>
      </c>
      <c r="F255">
        <f t="shared" si="12"/>
        <v>85</v>
      </c>
      <c r="G255" s="1">
        <f t="shared" si="13"/>
        <v>63.8</v>
      </c>
      <c r="H255" s="1">
        <f t="shared" si="14"/>
        <v>7.7202796903675326</v>
      </c>
      <c r="I255" s="1">
        <f t="shared" si="15"/>
        <v>7.1424000000000015E-2</v>
      </c>
      <c r="J255">
        <v>6.78</v>
      </c>
      <c r="K255">
        <v>12.7322908934953</v>
      </c>
      <c r="L255">
        <v>12.8350654026071</v>
      </c>
      <c r="M255">
        <v>42.258884469410198</v>
      </c>
    </row>
    <row r="256" spans="1:13" x14ac:dyDescent="0.2">
      <c r="A256">
        <v>7</v>
      </c>
      <c r="B256">
        <v>85</v>
      </c>
      <c r="C256">
        <v>1</v>
      </c>
      <c r="D256">
        <v>9.9</v>
      </c>
      <c r="E256">
        <v>0.8</v>
      </c>
      <c r="F256">
        <f t="shared" si="12"/>
        <v>85</v>
      </c>
      <c r="G256" s="1">
        <f t="shared" si="13"/>
        <v>61.4</v>
      </c>
      <c r="H256" s="1">
        <f t="shared" si="14"/>
        <v>7.3260703377995338</v>
      </c>
      <c r="I256" s="1">
        <f t="shared" si="15"/>
        <v>7.0272000000000015E-2</v>
      </c>
      <c r="J256">
        <v>6.78</v>
      </c>
      <c r="K256">
        <v>10.3087368483761</v>
      </c>
      <c r="L256">
        <v>7.5052943032585597</v>
      </c>
      <c r="M256">
        <v>58.512316067356998</v>
      </c>
    </row>
    <row r="257" spans="1:13" x14ac:dyDescent="0.2">
      <c r="A257">
        <v>7</v>
      </c>
      <c r="B257">
        <v>85</v>
      </c>
      <c r="C257">
        <v>1</v>
      </c>
      <c r="D257">
        <v>9.9</v>
      </c>
      <c r="E257">
        <v>1</v>
      </c>
      <c r="F257">
        <f t="shared" si="12"/>
        <v>85</v>
      </c>
      <c r="G257" s="1">
        <f t="shared" si="13"/>
        <v>59</v>
      </c>
      <c r="H257" s="1">
        <f t="shared" si="14"/>
        <v>6.9509496890873574</v>
      </c>
      <c r="I257" s="1">
        <f t="shared" si="15"/>
        <v>6.9120000000000015E-2</v>
      </c>
      <c r="J257">
        <v>6.78</v>
      </c>
      <c r="K257">
        <v>8.9177324690933695</v>
      </c>
      <c r="L257">
        <v>5.3464278141918999</v>
      </c>
      <c r="M257">
        <v>71.055924465424596</v>
      </c>
    </row>
    <row r="258" spans="1:13" x14ac:dyDescent="0.2">
      <c r="A258">
        <v>7</v>
      </c>
      <c r="B258">
        <v>85</v>
      </c>
      <c r="C258">
        <v>0.4</v>
      </c>
      <c r="D258">
        <v>29.9</v>
      </c>
      <c r="E258">
        <v>0.4</v>
      </c>
      <c r="F258">
        <f t="shared" si="12"/>
        <v>85</v>
      </c>
      <c r="G258" s="1">
        <f t="shared" si="13"/>
        <v>74.600000000000009</v>
      </c>
      <c r="H258" s="1">
        <f t="shared" si="14"/>
        <v>9.7643564541554984</v>
      </c>
      <c r="I258" s="1">
        <f t="shared" si="15"/>
        <v>0.19152000000000005</v>
      </c>
      <c r="J258">
        <v>6.78</v>
      </c>
      <c r="K258">
        <v>17.530674323297301</v>
      </c>
      <c r="L258">
        <v>33.996442950868101</v>
      </c>
      <c r="M258">
        <v>21.9672000343582</v>
      </c>
    </row>
    <row r="259" spans="1:13" x14ac:dyDescent="0.2">
      <c r="A259">
        <v>7</v>
      </c>
      <c r="B259">
        <v>85</v>
      </c>
      <c r="C259">
        <v>0.4</v>
      </c>
      <c r="D259">
        <v>29.9</v>
      </c>
      <c r="E259">
        <v>0.6</v>
      </c>
      <c r="F259">
        <f t="shared" ref="F259:F322" si="16">B259</f>
        <v>85</v>
      </c>
      <c r="G259" s="1">
        <f t="shared" ref="G259:G322" si="17">F259-(A259-1)*2*(C259+E259)-2*C259</f>
        <v>72.2</v>
      </c>
      <c r="H259" s="1">
        <f t="shared" ref="H259:H322" si="18">2.34*0.000001257*(0.5*A259^2*(F259+G259))/(1+2.73*(F259-G259)/(F259+G259))*1000</f>
        <v>9.2682016743192595</v>
      </c>
      <c r="I259" s="1">
        <f t="shared" ref="I259:I322" si="19">0.0000000168*4*0.5*(F259+G259)/(0.00007*C259)</f>
        <v>0.18864</v>
      </c>
      <c r="J259">
        <v>6.78</v>
      </c>
      <c r="K259">
        <v>14.5503547503221</v>
      </c>
      <c r="L259">
        <v>16.356512904101201</v>
      </c>
      <c r="M259">
        <v>37.895917263329402</v>
      </c>
    </row>
    <row r="260" spans="1:13" x14ac:dyDescent="0.2">
      <c r="A260">
        <v>7</v>
      </c>
      <c r="B260">
        <v>85</v>
      </c>
      <c r="C260">
        <v>0.4</v>
      </c>
      <c r="D260">
        <v>29.9</v>
      </c>
      <c r="E260">
        <v>0.8</v>
      </c>
      <c r="F260">
        <f t="shared" si="16"/>
        <v>85</v>
      </c>
      <c r="G260" s="1">
        <f t="shared" si="17"/>
        <v>69.8</v>
      </c>
      <c r="H260" s="1">
        <f t="shared" si="18"/>
        <v>8.7972651586502018</v>
      </c>
      <c r="I260" s="1">
        <f t="shared" si="19"/>
        <v>0.18576000000000004</v>
      </c>
      <c r="J260">
        <v>6.78</v>
      </c>
      <c r="K260">
        <v>12.294839083287499</v>
      </c>
      <c r="L260">
        <v>10.2589111672077</v>
      </c>
      <c r="M260">
        <v>51.054160810733698</v>
      </c>
    </row>
    <row r="261" spans="1:13" x14ac:dyDescent="0.2">
      <c r="A261">
        <v>7</v>
      </c>
      <c r="B261">
        <v>85</v>
      </c>
      <c r="C261">
        <v>0.4</v>
      </c>
      <c r="D261">
        <v>29.9</v>
      </c>
      <c r="E261">
        <v>1</v>
      </c>
      <c r="F261">
        <f t="shared" si="16"/>
        <v>85</v>
      </c>
      <c r="G261" s="1">
        <f t="shared" si="17"/>
        <v>67.400000000000006</v>
      </c>
      <c r="H261" s="1">
        <f t="shared" si="18"/>
        <v>8.3499798239224141</v>
      </c>
      <c r="I261" s="1">
        <f t="shared" si="19"/>
        <v>0.18288000000000004</v>
      </c>
      <c r="J261">
        <v>6.78</v>
      </c>
      <c r="K261">
        <v>10.5907133092712</v>
      </c>
      <c r="L261">
        <v>7.3030676898835098</v>
      </c>
      <c r="M261">
        <v>61.777374635305698</v>
      </c>
    </row>
    <row r="262" spans="1:13" x14ac:dyDescent="0.2">
      <c r="A262">
        <v>7</v>
      </c>
      <c r="B262">
        <v>85</v>
      </c>
      <c r="C262">
        <v>0.6</v>
      </c>
      <c r="D262">
        <v>29.9</v>
      </c>
      <c r="E262">
        <v>0.4</v>
      </c>
      <c r="F262">
        <f t="shared" si="16"/>
        <v>85</v>
      </c>
      <c r="G262" s="1">
        <f t="shared" si="17"/>
        <v>71.8</v>
      </c>
      <c r="H262" s="1">
        <f t="shared" si="18"/>
        <v>9.1880049781907953</v>
      </c>
      <c r="I262" s="1">
        <f t="shared" si="19"/>
        <v>0.12544000000000002</v>
      </c>
      <c r="J262">
        <v>6.78</v>
      </c>
      <c r="K262">
        <v>19.621312966477699</v>
      </c>
      <c r="L262">
        <v>33.859131650511003</v>
      </c>
      <c r="M262">
        <v>24.6866301836397</v>
      </c>
    </row>
    <row r="263" spans="1:13" x14ac:dyDescent="0.2">
      <c r="A263">
        <v>7</v>
      </c>
      <c r="B263">
        <v>85</v>
      </c>
      <c r="C263">
        <v>0.6</v>
      </c>
      <c r="D263">
        <v>29.9</v>
      </c>
      <c r="E263">
        <v>0.6</v>
      </c>
      <c r="F263">
        <f t="shared" si="16"/>
        <v>85</v>
      </c>
      <c r="G263" s="1">
        <f t="shared" si="17"/>
        <v>69.399999999999991</v>
      </c>
      <c r="H263" s="1">
        <f t="shared" si="18"/>
        <v>8.7211155479602773</v>
      </c>
      <c r="I263" s="1">
        <f t="shared" si="19"/>
        <v>0.12352</v>
      </c>
      <c r="J263">
        <v>6.78</v>
      </c>
      <c r="K263">
        <v>13.8604672398913</v>
      </c>
      <c r="L263">
        <v>13.8074776959134</v>
      </c>
      <c r="M263">
        <v>42.7634841993154</v>
      </c>
    </row>
    <row r="264" spans="1:13" x14ac:dyDescent="0.2">
      <c r="A264">
        <v>7</v>
      </c>
      <c r="B264">
        <v>85</v>
      </c>
      <c r="C264">
        <v>0.6</v>
      </c>
      <c r="D264">
        <v>29.9</v>
      </c>
      <c r="E264">
        <v>0.8</v>
      </c>
      <c r="F264">
        <f t="shared" si="16"/>
        <v>85</v>
      </c>
      <c r="G264" s="1">
        <f t="shared" si="17"/>
        <v>67</v>
      </c>
      <c r="H264" s="1">
        <f t="shared" si="18"/>
        <v>8.2776288467733909</v>
      </c>
      <c r="I264" s="1">
        <f t="shared" si="19"/>
        <v>0.12160000000000003</v>
      </c>
      <c r="J264">
        <v>6.78</v>
      </c>
      <c r="K264">
        <v>11.346139204469999</v>
      </c>
      <c r="L264">
        <v>8.5788711546680503</v>
      </c>
      <c r="M264">
        <v>56.3413857550213</v>
      </c>
    </row>
    <row r="265" spans="1:13" x14ac:dyDescent="0.2">
      <c r="A265">
        <v>7</v>
      </c>
      <c r="B265">
        <v>85</v>
      </c>
      <c r="C265">
        <v>0.6</v>
      </c>
      <c r="D265">
        <v>29.9</v>
      </c>
      <c r="E265">
        <v>1</v>
      </c>
      <c r="F265">
        <f t="shared" si="16"/>
        <v>85</v>
      </c>
      <c r="G265" s="1">
        <f t="shared" si="17"/>
        <v>64.599999999999994</v>
      </c>
      <c r="H265" s="1">
        <f t="shared" si="18"/>
        <v>7.8561249245445515</v>
      </c>
      <c r="I265" s="1">
        <f t="shared" si="19"/>
        <v>0.11968000000000001</v>
      </c>
      <c r="J265">
        <v>6.78</v>
      </c>
      <c r="K265">
        <v>9.7969557587616496</v>
      </c>
      <c r="L265">
        <v>6.1576374329462897</v>
      </c>
      <c r="M265">
        <v>67.777663824679905</v>
      </c>
    </row>
    <row r="266" spans="1:13" x14ac:dyDescent="0.2">
      <c r="A266">
        <v>7</v>
      </c>
      <c r="B266">
        <v>85</v>
      </c>
      <c r="C266">
        <v>0.8</v>
      </c>
      <c r="D266">
        <v>29.9</v>
      </c>
      <c r="E266">
        <v>0.4</v>
      </c>
      <c r="F266">
        <f t="shared" si="16"/>
        <v>85</v>
      </c>
      <c r="G266" s="1">
        <f t="shared" si="17"/>
        <v>69</v>
      </c>
      <c r="H266" s="1">
        <f t="shared" si="18"/>
        <v>8.6456157322946154</v>
      </c>
      <c r="I266" s="1">
        <f t="shared" si="19"/>
        <v>9.240000000000001E-2</v>
      </c>
      <c r="J266">
        <v>6.78</v>
      </c>
      <c r="K266">
        <v>13.811489625960499</v>
      </c>
      <c r="L266">
        <v>22.384751524935201</v>
      </c>
      <c r="M266">
        <v>26.284384146498098</v>
      </c>
    </row>
    <row r="267" spans="1:13" x14ac:dyDescent="0.2">
      <c r="A267">
        <v>7</v>
      </c>
      <c r="B267">
        <v>85</v>
      </c>
      <c r="C267">
        <v>0.8</v>
      </c>
      <c r="D267">
        <v>29.9</v>
      </c>
      <c r="E267">
        <v>0.6</v>
      </c>
      <c r="F267">
        <f t="shared" si="16"/>
        <v>85</v>
      </c>
      <c r="G267" s="1">
        <f t="shared" si="17"/>
        <v>66.600000000000009</v>
      </c>
      <c r="H267" s="1">
        <f t="shared" si="18"/>
        <v>8.2058882494034666</v>
      </c>
      <c r="I267" s="1">
        <f t="shared" si="19"/>
        <v>9.0960000000000013E-2</v>
      </c>
      <c r="J267">
        <v>6.78</v>
      </c>
      <c r="K267">
        <v>12.624381282566199</v>
      </c>
      <c r="L267">
        <v>11.698788865961699</v>
      </c>
      <c r="M267">
        <v>45.970450713545098</v>
      </c>
    </row>
    <row r="268" spans="1:13" x14ac:dyDescent="0.2">
      <c r="A268">
        <v>7</v>
      </c>
      <c r="B268">
        <v>85</v>
      </c>
      <c r="C268">
        <v>0.8</v>
      </c>
      <c r="D268">
        <v>29.9</v>
      </c>
      <c r="E268">
        <v>0.8</v>
      </c>
      <c r="F268">
        <f t="shared" si="16"/>
        <v>85</v>
      </c>
      <c r="G268" s="1">
        <f t="shared" si="17"/>
        <v>64.2</v>
      </c>
      <c r="H268" s="1">
        <f t="shared" si="18"/>
        <v>7.7879181462560192</v>
      </c>
      <c r="I268" s="1">
        <f t="shared" si="19"/>
        <v>8.9520000000000002E-2</v>
      </c>
      <c r="J268">
        <v>6.78</v>
      </c>
      <c r="K268">
        <v>10.3623102385958</v>
      </c>
      <c r="L268">
        <v>7.3158221703427904</v>
      </c>
      <c r="M268">
        <v>60.339681364846797</v>
      </c>
    </row>
    <row r="269" spans="1:13" x14ac:dyDescent="0.2">
      <c r="A269">
        <v>7</v>
      </c>
      <c r="B269">
        <v>85</v>
      </c>
      <c r="C269">
        <v>0.8</v>
      </c>
      <c r="D269">
        <v>29.9</v>
      </c>
      <c r="E269">
        <v>1</v>
      </c>
      <c r="F269">
        <f t="shared" si="16"/>
        <v>85</v>
      </c>
      <c r="G269" s="1">
        <f t="shared" si="17"/>
        <v>61.8</v>
      </c>
      <c r="H269" s="1">
        <f t="shared" si="18"/>
        <v>7.390415734640424</v>
      </c>
      <c r="I269" s="1">
        <f t="shared" si="19"/>
        <v>8.8080000000000019E-2</v>
      </c>
      <c r="J269">
        <v>6.78</v>
      </c>
      <c r="K269">
        <v>8.9484708510056503</v>
      </c>
      <c r="L269">
        <v>5.2677980116824896</v>
      </c>
      <c r="M269">
        <v>72.365118221680405</v>
      </c>
    </row>
    <row r="270" spans="1:13" x14ac:dyDescent="0.2">
      <c r="A270">
        <v>7</v>
      </c>
      <c r="B270">
        <v>85</v>
      </c>
      <c r="C270">
        <v>1</v>
      </c>
      <c r="D270">
        <v>29.9</v>
      </c>
      <c r="E270">
        <v>0.4</v>
      </c>
      <c r="F270">
        <f t="shared" si="16"/>
        <v>85</v>
      </c>
      <c r="G270" s="1">
        <f t="shared" si="17"/>
        <v>66.2</v>
      </c>
      <c r="H270" s="1">
        <f t="shared" si="18"/>
        <v>8.1347517750311056</v>
      </c>
      <c r="I270" s="1">
        <f t="shared" si="19"/>
        <v>7.2576000000000002E-2</v>
      </c>
      <c r="J270">
        <v>6.78</v>
      </c>
      <c r="K270">
        <v>15.298745351932499</v>
      </c>
      <c r="L270">
        <v>20.766031806221001</v>
      </c>
      <c r="M270">
        <v>31.384257846344401</v>
      </c>
    </row>
    <row r="271" spans="1:13" x14ac:dyDescent="0.2">
      <c r="A271">
        <v>7</v>
      </c>
      <c r="B271">
        <v>85</v>
      </c>
      <c r="C271">
        <v>1</v>
      </c>
      <c r="D271">
        <v>29.9</v>
      </c>
      <c r="E271">
        <v>0.6</v>
      </c>
      <c r="F271">
        <f t="shared" si="16"/>
        <v>85</v>
      </c>
      <c r="G271" s="1">
        <f t="shared" si="17"/>
        <v>63.8</v>
      </c>
      <c r="H271" s="1">
        <f t="shared" si="18"/>
        <v>7.7202796903675326</v>
      </c>
      <c r="I271" s="1">
        <f t="shared" si="19"/>
        <v>7.1424000000000015E-2</v>
      </c>
      <c r="J271">
        <v>6.78</v>
      </c>
      <c r="K271">
        <v>11.249105178112</v>
      </c>
      <c r="L271">
        <v>9.4444610299977008</v>
      </c>
      <c r="M271">
        <v>50.739988060075603</v>
      </c>
    </row>
    <row r="272" spans="1:13" x14ac:dyDescent="0.2">
      <c r="A272">
        <v>7</v>
      </c>
      <c r="B272">
        <v>85</v>
      </c>
      <c r="C272">
        <v>1</v>
      </c>
      <c r="D272">
        <v>29.9</v>
      </c>
      <c r="E272">
        <v>0.8</v>
      </c>
      <c r="F272">
        <f t="shared" si="16"/>
        <v>85</v>
      </c>
      <c r="G272" s="1">
        <f t="shared" si="17"/>
        <v>61.4</v>
      </c>
      <c r="H272" s="1">
        <f t="shared" si="18"/>
        <v>7.3260703377995338</v>
      </c>
      <c r="I272" s="1">
        <f t="shared" si="19"/>
        <v>7.0272000000000015E-2</v>
      </c>
      <c r="J272">
        <v>6.78</v>
      </c>
      <c r="K272">
        <v>9.39548639852209</v>
      </c>
      <c r="L272">
        <v>5.9933401112819098</v>
      </c>
      <c r="M272">
        <v>66.782074629321997</v>
      </c>
    </row>
    <row r="273" spans="1:13" x14ac:dyDescent="0.2">
      <c r="A273">
        <v>7</v>
      </c>
      <c r="B273">
        <v>85</v>
      </c>
      <c r="C273">
        <v>1</v>
      </c>
      <c r="D273">
        <v>29.9</v>
      </c>
      <c r="E273">
        <v>1</v>
      </c>
      <c r="F273">
        <f t="shared" si="16"/>
        <v>85</v>
      </c>
      <c r="G273" s="1">
        <f t="shared" si="17"/>
        <v>59</v>
      </c>
      <c r="H273" s="1">
        <f t="shared" si="18"/>
        <v>6.9509496890873574</v>
      </c>
      <c r="I273" s="1">
        <f t="shared" si="19"/>
        <v>6.9120000000000015E-2</v>
      </c>
      <c r="J273">
        <v>6.78</v>
      </c>
      <c r="K273">
        <v>8.2053371357079303</v>
      </c>
      <c r="L273">
        <v>4.3449153864950398</v>
      </c>
      <c r="M273">
        <v>80.449744403833193</v>
      </c>
    </row>
    <row r="274" spans="1:13" x14ac:dyDescent="0.2">
      <c r="A274">
        <v>7</v>
      </c>
      <c r="B274">
        <v>85</v>
      </c>
      <c r="C274">
        <v>0.4</v>
      </c>
      <c r="D274">
        <v>49.9</v>
      </c>
      <c r="E274">
        <v>0.4</v>
      </c>
      <c r="F274">
        <f t="shared" si="16"/>
        <v>85</v>
      </c>
      <c r="G274" s="1">
        <f t="shared" si="17"/>
        <v>74.600000000000009</v>
      </c>
      <c r="H274" s="1">
        <f t="shared" si="18"/>
        <v>9.7643564541554984</v>
      </c>
      <c r="I274" s="1">
        <f t="shared" si="19"/>
        <v>0.19152000000000005</v>
      </c>
      <c r="J274">
        <v>6.78</v>
      </c>
      <c r="K274">
        <v>20.748448431185501</v>
      </c>
      <c r="L274">
        <v>51.778375148069699</v>
      </c>
      <c r="M274">
        <v>17.070520764451398</v>
      </c>
    </row>
    <row r="275" spans="1:13" x14ac:dyDescent="0.2">
      <c r="A275">
        <v>7</v>
      </c>
      <c r="B275">
        <v>85</v>
      </c>
      <c r="C275">
        <v>0.4</v>
      </c>
      <c r="D275">
        <v>49.9</v>
      </c>
      <c r="E275">
        <v>0.6</v>
      </c>
      <c r="F275">
        <f t="shared" si="16"/>
        <v>85</v>
      </c>
      <c r="G275" s="1">
        <f t="shared" si="17"/>
        <v>72.2</v>
      </c>
      <c r="H275" s="1">
        <f t="shared" si="18"/>
        <v>9.2682016743192595</v>
      </c>
      <c r="I275" s="1">
        <f t="shared" si="19"/>
        <v>0.18864</v>
      </c>
      <c r="J275">
        <v>6.78</v>
      </c>
      <c r="K275">
        <v>13.8438951459853</v>
      </c>
      <c r="L275">
        <v>14.2251557076094</v>
      </c>
      <c r="M275">
        <v>41.458237453644699</v>
      </c>
    </row>
    <row r="276" spans="1:13" x14ac:dyDescent="0.2">
      <c r="A276">
        <v>7</v>
      </c>
      <c r="B276">
        <v>85</v>
      </c>
      <c r="C276">
        <v>0.4</v>
      </c>
      <c r="D276">
        <v>49.9</v>
      </c>
      <c r="E276">
        <v>0.8</v>
      </c>
      <c r="F276">
        <f t="shared" si="16"/>
        <v>85</v>
      </c>
      <c r="G276" s="1">
        <f t="shared" si="17"/>
        <v>69.8</v>
      </c>
      <c r="H276" s="1">
        <f t="shared" si="18"/>
        <v>8.7972651586502018</v>
      </c>
      <c r="I276" s="1">
        <f t="shared" si="19"/>
        <v>0.18576000000000004</v>
      </c>
      <c r="J276">
        <v>6.78</v>
      </c>
      <c r="K276">
        <v>11.345213722114501</v>
      </c>
      <c r="L276">
        <v>8.7404960811535499</v>
      </c>
      <c r="M276">
        <v>55.2950380659627</v>
      </c>
    </row>
    <row r="277" spans="1:13" x14ac:dyDescent="0.2">
      <c r="A277">
        <v>7</v>
      </c>
      <c r="B277">
        <v>85</v>
      </c>
      <c r="C277">
        <v>0.4</v>
      </c>
      <c r="D277">
        <v>49.9</v>
      </c>
      <c r="E277">
        <v>1</v>
      </c>
      <c r="F277">
        <f t="shared" si="16"/>
        <v>85</v>
      </c>
      <c r="G277" s="1">
        <f t="shared" si="17"/>
        <v>67.400000000000006</v>
      </c>
      <c r="H277" s="1">
        <f t="shared" si="18"/>
        <v>8.3499798239224141</v>
      </c>
      <c r="I277" s="1">
        <f t="shared" si="19"/>
        <v>0.18288000000000004</v>
      </c>
      <c r="J277">
        <v>6.78</v>
      </c>
      <c r="K277">
        <v>9.8101310755154199</v>
      </c>
      <c r="L277">
        <v>6.3276868390962102</v>
      </c>
      <c r="M277">
        <v>66.044916405856796</v>
      </c>
    </row>
    <row r="278" spans="1:13" x14ac:dyDescent="0.2">
      <c r="A278">
        <v>7</v>
      </c>
      <c r="B278">
        <v>85</v>
      </c>
      <c r="C278">
        <v>0.6</v>
      </c>
      <c r="D278">
        <v>49.9</v>
      </c>
      <c r="E278">
        <v>0.4</v>
      </c>
      <c r="F278">
        <f t="shared" si="16"/>
        <v>85</v>
      </c>
      <c r="G278" s="1">
        <f t="shared" si="17"/>
        <v>71.8</v>
      </c>
      <c r="H278" s="1">
        <f t="shared" si="18"/>
        <v>9.1880049781907953</v>
      </c>
      <c r="I278" s="1">
        <f t="shared" si="19"/>
        <v>0.12544000000000002</v>
      </c>
      <c r="J278">
        <v>6.78</v>
      </c>
      <c r="K278">
        <v>13.922757808450701</v>
      </c>
      <c r="L278">
        <v>22.640240004288302</v>
      </c>
      <c r="M278">
        <v>26.197135373324301</v>
      </c>
    </row>
    <row r="279" spans="1:13" x14ac:dyDescent="0.2">
      <c r="A279">
        <v>7</v>
      </c>
      <c r="B279">
        <v>85</v>
      </c>
      <c r="C279">
        <v>0.6</v>
      </c>
      <c r="D279">
        <v>49.9</v>
      </c>
      <c r="E279">
        <v>0.6</v>
      </c>
      <c r="F279">
        <f t="shared" si="16"/>
        <v>85</v>
      </c>
      <c r="G279" s="1">
        <f t="shared" si="17"/>
        <v>69.399999999999991</v>
      </c>
      <c r="H279" s="1">
        <f t="shared" si="18"/>
        <v>8.7211155479602773</v>
      </c>
      <c r="I279" s="1">
        <f t="shared" si="19"/>
        <v>0.12352</v>
      </c>
      <c r="J279">
        <v>6.78</v>
      </c>
      <c r="K279">
        <v>12.4243372349836</v>
      </c>
      <c r="L279">
        <v>11.2499773889868</v>
      </c>
      <c r="M279">
        <v>47.046914226299201</v>
      </c>
    </row>
    <row r="280" spans="1:13" x14ac:dyDescent="0.2">
      <c r="A280">
        <v>7</v>
      </c>
      <c r="B280">
        <v>85</v>
      </c>
      <c r="C280">
        <v>0.6</v>
      </c>
      <c r="D280">
        <v>49.9</v>
      </c>
      <c r="E280">
        <v>0.8</v>
      </c>
      <c r="F280">
        <f t="shared" si="16"/>
        <v>85</v>
      </c>
      <c r="G280" s="1">
        <f t="shared" si="17"/>
        <v>67</v>
      </c>
      <c r="H280" s="1">
        <f t="shared" si="18"/>
        <v>8.2776288467733909</v>
      </c>
      <c r="I280" s="1">
        <f t="shared" si="19"/>
        <v>0.12160000000000003</v>
      </c>
      <c r="J280">
        <v>6.78</v>
      </c>
      <c r="K280">
        <v>10.432025437438799</v>
      </c>
      <c r="L280">
        <v>7.2335949116365201</v>
      </c>
      <c r="M280">
        <v>61.436153299653299</v>
      </c>
    </row>
    <row r="281" spans="1:13" x14ac:dyDescent="0.2">
      <c r="A281">
        <v>7</v>
      </c>
      <c r="B281">
        <v>85</v>
      </c>
      <c r="C281">
        <v>0.6</v>
      </c>
      <c r="D281">
        <v>49.9</v>
      </c>
      <c r="E281">
        <v>1</v>
      </c>
      <c r="F281">
        <f t="shared" si="16"/>
        <v>85</v>
      </c>
      <c r="G281" s="1">
        <f t="shared" si="17"/>
        <v>64.599999999999994</v>
      </c>
      <c r="H281" s="1">
        <f t="shared" si="18"/>
        <v>7.8561249245445515</v>
      </c>
      <c r="I281" s="1">
        <f t="shared" si="19"/>
        <v>0.11968000000000001</v>
      </c>
      <c r="J281">
        <v>6.78</v>
      </c>
      <c r="K281">
        <v>9.0516006706320695</v>
      </c>
      <c r="L281">
        <v>5.1803485934654896</v>
      </c>
      <c r="M281">
        <v>74.434789255835497</v>
      </c>
    </row>
    <row r="282" spans="1:13" x14ac:dyDescent="0.2">
      <c r="A282">
        <v>7</v>
      </c>
      <c r="B282">
        <v>85</v>
      </c>
      <c r="C282">
        <v>0.8</v>
      </c>
      <c r="D282">
        <v>49.9</v>
      </c>
      <c r="E282">
        <v>0.4</v>
      </c>
      <c r="F282">
        <f t="shared" si="16"/>
        <v>85</v>
      </c>
      <c r="G282" s="1">
        <f t="shared" si="17"/>
        <v>69</v>
      </c>
      <c r="H282" s="1">
        <f t="shared" si="18"/>
        <v>8.6456157322946154</v>
      </c>
      <c r="I282" s="1">
        <f t="shared" si="19"/>
        <v>9.240000000000001E-2</v>
      </c>
      <c r="J282">
        <v>6.78</v>
      </c>
      <c r="K282">
        <v>15.2830043001447</v>
      </c>
      <c r="L282">
        <v>20.057114690294298</v>
      </c>
      <c r="M282">
        <v>32.460098970150497</v>
      </c>
    </row>
    <row r="283" spans="1:13" x14ac:dyDescent="0.2">
      <c r="A283">
        <v>7</v>
      </c>
      <c r="B283">
        <v>85</v>
      </c>
      <c r="C283">
        <v>0.8</v>
      </c>
      <c r="D283">
        <v>49.9</v>
      </c>
      <c r="E283">
        <v>0.6</v>
      </c>
      <c r="F283">
        <f t="shared" si="16"/>
        <v>85</v>
      </c>
      <c r="G283" s="1">
        <f t="shared" si="17"/>
        <v>66.600000000000009</v>
      </c>
      <c r="H283" s="1">
        <f t="shared" si="18"/>
        <v>8.2058882494034666</v>
      </c>
      <c r="I283" s="1">
        <f t="shared" si="19"/>
        <v>9.0960000000000013E-2</v>
      </c>
      <c r="J283">
        <v>6.78</v>
      </c>
      <c r="K283">
        <v>11.3672078511631</v>
      </c>
      <c r="L283">
        <v>9.3455592507108491</v>
      </c>
      <c r="M283">
        <v>51.815306109568702</v>
      </c>
    </row>
    <row r="284" spans="1:13" x14ac:dyDescent="0.2">
      <c r="A284">
        <v>7</v>
      </c>
      <c r="B284">
        <v>85</v>
      </c>
      <c r="C284">
        <v>0.8</v>
      </c>
      <c r="D284">
        <v>49.9</v>
      </c>
      <c r="E284">
        <v>0.8</v>
      </c>
      <c r="F284">
        <f t="shared" si="16"/>
        <v>85</v>
      </c>
      <c r="G284" s="1">
        <f t="shared" si="17"/>
        <v>64.2</v>
      </c>
      <c r="H284" s="1">
        <f t="shared" si="18"/>
        <v>7.7879181462560192</v>
      </c>
      <c r="I284" s="1">
        <f t="shared" si="19"/>
        <v>8.9520000000000002E-2</v>
      </c>
      <c r="J284">
        <v>6.78</v>
      </c>
      <c r="K284">
        <v>9.5116026699214995</v>
      </c>
      <c r="L284">
        <v>6.1461215336064896</v>
      </c>
      <c r="M284">
        <v>65.926818582508204</v>
      </c>
    </row>
    <row r="285" spans="1:13" x14ac:dyDescent="0.2">
      <c r="A285">
        <v>7</v>
      </c>
      <c r="B285">
        <v>85</v>
      </c>
      <c r="C285">
        <v>0.8</v>
      </c>
      <c r="D285">
        <v>49.9</v>
      </c>
      <c r="E285">
        <v>1</v>
      </c>
      <c r="F285">
        <f t="shared" si="16"/>
        <v>85</v>
      </c>
      <c r="G285" s="1">
        <f t="shared" si="17"/>
        <v>61.8</v>
      </c>
      <c r="H285" s="1">
        <f t="shared" si="18"/>
        <v>7.390415734640424</v>
      </c>
      <c r="I285" s="1">
        <f t="shared" si="19"/>
        <v>8.8080000000000019E-2</v>
      </c>
      <c r="J285">
        <v>6.78</v>
      </c>
      <c r="K285">
        <v>8.2646431280408397</v>
      </c>
      <c r="L285">
        <v>4.4050325457762796</v>
      </c>
      <c r="M285">
        <v>79.925349858366801</v>
      </c>
    </row>
    <row r="286" spans="1:13" x14ac:dyDescent="0.2">
      <c r="A286">
        <v>7</v>
      </c>
      <c r="B286">
        <v>85</v>
      </c>
      <c r="C286">
        <v>1</v>
      </c>
      <c r="D286">
        <v>49.9</v>
      </c>
      <c r="E286">
        <v>0.4</v>
      </c>
      <c r="F286">
        <f t="shared" si="16"/>
        <v>85</v>
      </c>
      <c r="G286" s="1">
        <f t="shared" si="17"/>
        <v>66.2</v>
      </c>
      <c r="H286" s="1">
        <f t="shared" si="18"/>
        <v>8.1347517750311056</v>
      </c>
      <c r="I286" s="1">
        <f t="shared" si="19"/>
        <v>7.2576000000000002E-2</v>
      </c>
      <c r="J286">
        <v>6.78</v>
      </c>
      <c r="K286">
        <v>13.642954057178001</v>
      </c>
      <c r="L286">
        <v>16.193644478847599</v>
      </c>
      <c r="M286">
        <v>35.889993401051697</v>
      </c>
    </row>
    <row r="287" spans="1:13" x14ac:dyDescent="0.2">
      <c r="A287">
        <v>7</v>
      </c>
      <c r="B287">
        <v>85</v>
      </c>
      <c r="C287">
        <v>1</v>
      </c>
      <c r="D287">
        <v>49.9</v>
      </c>
      <c r="E287">
        <v>0.6</v>
      </c>
      <c r="F287">
        <f t="shared" si="16"/>
        <v>85</v>
      </c>
      <c r="G287" s="1">
        <f t="shared" si="17"/>
        <v>63.8</v>
      </c>
      <c r="H287" s="1">
        <f t="shared" si="18"/>
        <v>7.7202796903675326</v>
      </c>
      <c r="I287" s="1">
        <f t="shared" si="19"/>
        <v>7.1424000000000015E-2</v>
      </c>
      <c r="J287">
        <v>6.78</v>
      </c>
      <c r="K287">
        <v>10.238256792440501</v>
      </c>
      <c r="L287">
        <v>7.7549932307669396</v>
      </c>
      <c r="M287">
        <v>56.2411454587116</v>
      </c>
    </row>
    <row r="288" spans="1:13" x14ac:dyDescent="0.2">
      <c r="A288">
        <v>7</v>
      </c>
      <c r="B288">
        <v>85</v>
      </c>
      <c r="C288">
        <v>1</v>
      </c>
      <c r="D288">
        <v>49.9</v>
      </c>
      <c r="E288">
        <v>0.8</v>
      </c>
      <c r="F288">
        <f t="shared" si="16"/>
        <v>85</v>
      </c>
      <c r="G288" s="1">
        <f t="shared" si="17"/>
        <v>61.4</v>
      </c>
      <c r="H288" s="1">
        <f t="shared" si="18"/>
        <v>7.3260703377995338</v>
      </c>
      <c r="I288" s="1">
        <f t="shared" si="19"/>
        <v>7.0272000000000015E-2</v>
      </c>
      <c r="J288">
        <v>6.78</v>
      </c>
      <c r="K288">
        <v>8.6473345353415905</v>
      </c>
      <c r="L288">
        <v>5.0390679993122802</v>
      </c>
      <c r="M288">
        <v>73.104077971487897</v>
      </c>
    </row>
    <row r="289" spans="1:13" x14ac:dyDescent="0.2">
      <c r="A289">
        <v>7</v>
      </c>
      <c r="B289">
        <v>85</v>
      </c>
      <c r="C289">
        <v>1</v>
      </c>
      <c r="D289">
        <v>49.9</v>
      </c>
      <c r="E289">
        <v>1</v>
      </c>
      <c r="F289">
        <f t="shared" si="16"/>
        <v>85</v>
      </c>
      <c r="G289" s="1">
        <f t="shared" si="17"/>
        <v>59</v>
      </c>
      <c r="H289" s="1">
        <f t="shared" si="18"/>
        <v>6.9509496890873574</v>
      </c>
      <c r="I289" s="1">
        <f t="shared" si="19"/>
        <v>6.9120000000000015E-2</v>
      </c>
      <c r="J289">
        <v>6.78</v>
      </c>
      <c r="K289">
        <v>7.6128047637300904</v>
      </c>
      <c r="L289">
        <v>3.75523587249593</v>
      </c>
      <c r="M289">
        <v>86.360874897954702</v>
      </c>
    </row>
    <row r="290" spans="1:13" x14ac:dyDescent="0.2">
      <c r="A290">
        <v>7</v>
      </c>
      <c r="B290">
        <v>85</v>
      </c>
      <c r="C290">
        <v>0.4</v>
      </c>
      <c r="D290">
        <v>69.900000000000006</v>
      </c>
      <c r="E290">
        <v>0.4</v>
      </c>
      <c r="F290">
        <f t="shared" si="16"/>
        <v>85</v>
      </c>
      <c r="G290" s="1">
        <f t="shared" si="17"/>
        <v>74.600000000000009</v>
      </c>
      <c r="H290" s="1">
        <f t="shared" si="18"/>
        <v>9.7643564541554984</v>
      </c>
      <c r="I290" s="1">
        <f t="shared" si="19"/>
        <v>0.19152000000000005</v>
      </c>
      <c r="J290">
        <v>6.78</v>
      </c>
      <c r="K290">
        <v>21.4250315999879</v>
      </c>
      <c r="L290">
        <v>41.312200999787301</v>
      </c>
      <c r="M290">
        <v>22.0928986248623</v>
      </c>
    </row>
    <row r="291" spans="1:13" x14ac:dyDescent="0.2">
      <c r="A291">
        <v>7</v>
      </c>
      <c r="B291">
        <v>85</v>
      </c>
      <c r="C291">
        <v>0.4</v>
      </c>
      <c r="D291">
        <v>69.900000000000006</v>
      </c>
      <c r="E291">
        <v>0.6</v>
      </c>
      <c r="F291">
        <f t="shared" si="16"/>
        <v>85</v>
      </c>
      <c r="G291" s="1">
        <f t="shared" si="17"/>
        <v>72.2</v>
      </c>
      <c r="H291" s="1">
        <f t="shared" si="18"/>
        <v>9.2682016743192595</v>
      </c>
      <c r="I291" s="1">
        <f t="shared" si="19"/>
        <v>0.18864</v>
      </c>
      <c r="J291">
        <v>6.78</v>
      </c>
      <c r="K291">
        <v>16.238679340919099</v>
      </c>
      <c r="L291">
        <v>34.464526607813099</v>
      </c>
      <c r="M291">
        <v>20.0718753242876</v>
      </c>
    </row>
    <row r="292" spans="1:13" x14ac:dyDescent="0.2">
      <c r="A292">
        <v>7</v>
      </c>
      <c r="B292">
        <v>85</v>
      </c>
      <c r="C292">
        <v>0.4</v>
      </c>
      <c r="D292">
        <v>69.900000000000006</v>
      </c>
      <c r="E292">
        <v>0.8</v>
      </c>
      <c r="F292">
        <f t="shared" si="16"/>
        <v>85</v>
      </c>
      <c r="G292" s="1">
        <f t="shared" si="17"/>
        <v>69.8</v>
      </c>
      <c r="H292" s="1">
        <f t="shared" si="18"/>
        <v>8.7972651586502018</v>
      </c>
      <c r="I292" s="1">
        <f t="shared" si="19"/>
        <v>0.18576000000000004</v>
      </c>
      <c r="J292">
        <v>6.78</v>
      </c>
      <c r="K292">
        <v>10.9237203379706</v>
      </c>
      <c r="L292">
        <v>8.7325299573875803</v>
      </c>
      <c r="M292">
        <v>53.289304377278398</v>
      </c>
    </row>
    <row r="293" spans="1:13" x14ac:dyDescent="0.2">
      <c r="A293">
        <v>7</v>
      </c>
      <c r="B293">
        <v>85</v>
      </c>
      <c r="C293">
        <v>0.4</v>
      </c>
      <c r="D293">
        <v>69.900000000000006</v>
      </c>
      <c r="E293">
        <v>1</v>
      </c>
      <c r="F293">
        <f t="shared" si="16"/>
        <v>85</v>
      </c>
      <c r="G293" s="1">
        <f t="shared" si="17"/>
        <v>67.400000000000006</v>
      </c>
      <c r="H293" s="1">
        <f t="shared" si="18"/>
        <v>8.3499798239224141</v>
      </c>
      <c r="I293" s="1">
        <f t="shared" si="19"/>
        <v>0.18288000000000004</v>
      </c>
      <c r="J293">
        <v>6.78</v>
      </c>
      <c r="K293">
        <v>9.3050465341400308</v>
      </c>
      <c r="L293">
        <v>5.9156892050465002</v>
      </c>
      <c r="M293">
        <v>67.007399299621596</v>
      </c>
    </row>
    <row r="294" spans="1:13" x14ac:dyDescent="0.2">
      <c r="A294">
        <v>7</v>
      </c>
      <c r="B294">
        <v>85</v>
      </c>
      <c r="C294">
        <v>0.6</v>
      </c>
      <c r="D294">
        <v>69.900000000000006</v>
      </c>
      <c r="E294">
        <v>0.4</v>
      </c>
      <c r="F294">
        <f t="shared" si="16"/>
        <v>85</v>
      </c>
      <c r="G294" s="1">
        <f t="shared" si="17"/>
        <v>71.8</v>
      </c>
      <c r="H294" s="1">
        <f t="shared" si="18"/>
        <v>9.1880049781907953</v>
      </c>
      <c r="I294" s="1">
        <f t="shared" si="19"/>
        <v>0.12544000000000002</v>
      </c>
      <c r="J294">
        <v>6.78</v>
      </c>
      <c r="K294">
        <v>16.6439362413624</v>
      </c>
      <c r="L294">
        <v>24.502345469499101</v>
      </c>
      <c r="M294">
        <v>28.937296005321901</v>
      </c>
    </row>
    <row r="295" spans="1:13" x14ac:dyDescent="0.2">
      <c r="A295">
        <v>7</v>
      </c>
      <c r="B295">
        <v>85</v>
      </c>
      <c r="C295">
        <v>0.6</v>
      </c>
      <c r="D295">
        <v>69.900000000000006</v>
      </c>
      <c r="E295">
        <v>0.6</v>
      </c>
      <c r="F295">
        <f t="shared" si="16"/>
        <v>85</v>
      </c>
      <c r="G295" s="1">
        <f t="shared" si="17"/>
        <v>69.399999999999991</v>
      </c>
      <c r="H295" s="1">
        <f t="shared" si="18"/>
        <v>8.7211155479602773</v>
      </c>
      <c r="I295" s="1">
        <f t="shared" si="19"/>
        <v>0.12352</v>
      </c>
      <c r="J295">
        <v>6.78</v>
      </c>
      <c r="K295">
        <v>13.3690011260607</v>
      </c>
      <c r="L295">
        <v>14.774269787312999</v>
      </c>
      <c r="M295">
        <v>38.5480573868536</v>
      </c>
    </row>
    <row r="296" spans="1:13" x14ac:dyDescent="0.2">
      <c r="A296">
        <v>7</v>
      </c>
      <c r="B296">
        <v>85</v>
      </c>
      <c r="C296">
        <v>0.6</v>
      </c>
      <c r="D296">
        <v>69.900000000000006</v>
      </c>
      <c r="E296">
        <v>0.8</v>
      </c>
      <c r="F296">
        <f t="shared" si="16"/>
        <v>85</v>
      </c>
      <c r="G296" s="1">
        <f t="shared" si="17"/>
        <v>67</v>
      </c>
      <c r="H296" s="1">
        <f t="shared" si="18"/>
        <v>8.2776288467733909</v>
      </c>
      <c r="I296" s="1">
        <f t="shared" si="19"/>
        <v>0.12160000000000003</v>
      </c>
      <c r="J296">
        <v>6.78</v>
      </c>
      <c r="K296">
        <v>9.8582106568300301</v>
      </c>
      <c r="L296">
        <v>6.6930285537792704</v>
      </c>
      <c r="M296">
        <v>62.745845912086999</v>
      </c>
    </row>
    <row r="297" spans="1:13" x14ac:dyDescent="0.2">
      <c r="A297">
        <v>7</v>
      </c>
      <c r="B297">
        <v>85</v>
      </c>
      <c r="C297">
        <v>0.6</v>
      </c>
      <c r="D297">
        <v>69.900000000000006</v>
      </c>
      <c r="E297">
        <v>1</v>
      </c>
      <c r="F297">
        <f t="shared" si="16"/>
        <v>85</v>
      </c>
      <c r="G297" s="1">
        <f t="shared" si="17"/>
        <v>64.599999999999994</v>
      </c>
      <c r="H297" s="1">
        <f t="shared" si="18"/>
        <v>7.8561249245445515</v>
      </c>
      <c r="I297" s="1">
        <f t="shared" si="19"/>
        <v>0.11968000000000001</v>
      </c>
      <c r="J297">
        <v>6.78</v>
      </c>
      <c r="K297">
        <v>8.5207422067606799</v>
      </c>
      <c r="L297">
        <v>4.7533341874124302</v>
      </c>
      <c r="M297">
        <v>76.363994803262599</v>
      </c>
    </row>
    <row r="298" spans="1:13" x14ac:dyDescent="0.2">
      <c r="A298">
        <v>7</v>
      </c>
      <c r="B298">
        <v>85</v>
      </c>
      <c r="C298">
        <v>0.8</v>
      </c>
      <c r="D298">
        <v>69.900000000000006</v>
      </c>
      <c r="E298">
        <v>0.4</v>
      </c>
      <c r="F298">
        <f t="shared" si="16"/>
        <v>85</v>
      </c>
      <c r="G298" s="1">
        <f t="shared" si="17"/>
        <v>69</v>
      </c>
      <c r="H298" s="1">
        <f t="shared" si="18"/>
        <v>8.6456157322946154</v>
      </c>
      <c r="I298" s="1">
        <f t="shared" si="19"/>
        <v>9.240000000000001E-2</v>
      </c>
      <c r="J298">
        <v>6.78</v>
      </c>
      <c r="K298">
        <v>13.526498487764099</v>
      </c>
      <c r="L298">
        <v>16.0445846713761</v>
      </c>
      <c r="M298">
        <v>35.914222677078698</v>
      </c>
    </row>
    <row r="299" spans="1:13" x14ac:dyDescent="0.2">
      <c r="A299">
        <v>7</v>
      </c>
      <c r="B299">
        <v>85</v>
      </c>
      <c r="C299">
        <v>0.8</v>
      </c>
      <c r="D299">
        <v>69.900000000000006</v>
      </c>
      <c r="E299">
        <v>0.6</v>
      </c>
      <c r="F299">
        <f t="shared" si="16"/>
        <v>85</v>
      </c>
      <c r="G299" s="1">
        <f t="shared" si="17"/>
        <v>66.600000000000009</v>
      </c>
      <c r="H299" s="1">
        <f t="shared" si="18"/>
        <v>8.2058882494034666</v>
      </c>
      <c r="I299" s="1">
        <f t="shared" si="19"/>
        <v>9.0960000000000013E-2</v>
      </c>
      <c r="J299">
        <v>6.78</v>
      </c>
      <c r="K299">
        <v>10.6286673595785</v>
      </c>
      <c r="L299">
        <v>8.6519189656681306</v>
      </c>
      <c r="M299">
        <v>52.3330365052445</v>
      </c>
    </row>
    <row r="300" spans="1:13" x14ac:dyDescent="0.2">
      <c r="A300">
        <v>7</v>
      </c>
      <c r="B300">
        <v>85</v>
      </c>
      <c r="C300">
        <v>0.8</v>
      </c>
      <c r="D300">
        <v>69.900000000000006</v>
      </c>
      <c r="E300">
        <v>0.8</v>
      </c>
      <c r="F300">
        <f t="shared" si="16"/>
        <v>85</v>
      </c>
      <c r="G300" s="1">
        <f t="shared" si="17"/>
        <v>64.2</v>
      </c>
      <c r="H300" s="1">
        <f t="shared" si="18"/>
        <v>7.7879181462560192</v>
      </c>
      <c r="I300" s="1">
        <f t="shared" si="19"/>
        <v>8.9520000000000002E-2</v>
      </c>
      <c r="J300">
        <v>6.78</v>
      </c>
      <c r="K300">
        <v>8.8056753300965909</v>
      </c>
      <c r="L300">
        <v>5.2106841881858799</v>
      </c>
      <c r="M300">
        <v>71.990879443366893</v>
      </c>
    </row>
    <row r="301" spans="1:13" x14ac:dyDescent="0.2">
      <c r="A301">
        <v>7</v>
      </c>
      <c r="B301">
        <v>85</v>
      </c>
      <c r="C301">
        <v>0.8</v>
      </c>
      <c r="D301">
        <v>69.900000000000006</v>
      </c>
      <c r="E301">
        <v>1</v>
      </c>
      <c r="F301">
        <f t="shared" si="16"/>
        <v>85</v>
      </c>
      <c r="G301" s="1">
        <f t="shared" si="17"/>
        <v>61.8</v>
      </c>
      <c r="H301" s="1">
        <f t="shared" si="18"/>
        <v>7.390415734640424</v>
      </c>
      <c r="I301" s="1">
        <f t="shared" si="19"/>
        <v>8.8080000000000019E-2</v>
      </c>
      <c r="J301">
        <v>6.78</v>
      </c>
      <c r="K301">
        <v>7.7318126480345803</v>
      </c>
      <c r="L301">
        <v>3.8564025423150099</v>
      </c>
      <c r="M301">
        <v>85.409961025512899</v>
      </c>
    </row>
    <row r="302" spans="1:13" x14ac:dyDescent="0.2">
      <c r="A302">
        <v>7</v>
      </c>
      <c r="B302">
        <v>85</v>
      </c>
      <c r="C302">
        <v>1</v>
      </c>
      <c r="D302">
        <v>69.900000000000006</v>
      </c>
      <c r="E302">
        <v>0.4</v>
      </c>
      <c r="F302">
        <f t="shared" si="16"/>
        <v>85</v>
      </c>
      <c r="G302" s="1">
        <f t="shared" si="17"/>
        <v>66.2</v>
      </c>
      <c r="H302" s="1">
        <f t="shared" si="18"/>
        <v>8.1347517750311056</v>
      </c>
      <c r="I302" s="1">
        <f t="shared" si="19"/>
        <v>7.2576000000000002E-2</v>
      </c>
      <c r="J302">
        <v>6.78</v>
      </c>
      <c r="K302">
        <v>12.114686174063101</v>
      </c>
      <c r="L302">
        <v>13.0014561565796</v>
      </c>
      <c r="M302">
        <v>39.694445066538897</v>
      </c>
    </row>
    <row r="303" spans="1:13" x14ac:dyDescent="0.2">
      <c r="A303">
        <v>7</v>
      </c>
      <c r="B303">
        <v>85</v>
      </c>
      <c r="C303">
        <v>1</v>
      </c>
      <c r="D303">
        <v>69.900000000000006</v>
      </c>
      <c r="E303">
        <v>0.6</v>
      </c>
      <c r="F303">
        <f t="shared" si="16"/>
        <v>85</v>
      </c>
      <c r="G303" s="1">
        <f t="shared" si="17"/>
        <v>63.8</v>
      </c>
      <c r="H303" s="1">
        <f t="shared" si="18"/>
        <v>7.7202796903675326</v>
      </c>
      <c r="I303" s="1">
        <f t="shared" si="19"/>
        <v>7.1424000000000015E-2</v>
      </c>
      <c r="J303">
        <v>6.78</v>
      </c>
      <c r="K303">
        <v>9.5140324520196806</v>
      </c>
      <c r="L303">
        <v>6.9272070096065397</v>
      </c>
      <c r="M303">
        <v>58.508103984572003</v>
      </c>
    </row>
    <row r="304" spans="1:13" x14ac:dyDescent="0.2">
      <c r="A304">
        <v>7</v>
      </c>
      <c r="B304">
        <v>85</v>
      </c>
      <c r="C304">
        <v>1</v>
      </c>
      <c r="D304">
        <v>69.900000000000006</v>
      </c>
      <c r="E304">
        <v>0.8</v>
      </c>
      <c r="F304">
        <f t="shared" si="16"/>
        <v>85</v>
      </c>
      <c r="G304" s="1">
        <f t="shared" si="17"/>
        <v>61.4</v>
      </c>
      <c r="H304" s="1">
        <f t="shared" si="18"/>
        <v>7.3260703377995338</v>
      </c>
      <c r="I304" s="1">
        <f t="shared" si="19"/>
        <v>7.0272000000000015E-2</v>
      </c>
      <c r="J304">
        <v>6.78</v>
      </c>
      <c r="K304">
        <v>8.0621115832802204</v>
      </c>
      <c r="L304">
        <v>4.5268132498372804</v>
      </c>
      <c r="M304">
        <v>75.869249586743194</v>
      </c>
    </row>
    <row r="305" spans="1:13" x14ac:dyDescent="0.2">
      <c r="A305">
        <v>7</v>
      </c>
      <c r="B305">
        <v>85</v>
      </c>
      <c r="C305">
        <v>1</v>
      </c>
      <c r="D305">
        <v>69.900000000000006</v>
      </c>
      <c r="E305">
        <v>1</v>
      </c>
      <c r="F305">
        <f t="shared" si="16"/>
        <v>85</v>
      </c>
      <c r="G305" s="1">
        <f t="shared" si="17"/>
        <v>59</v>
      </c>
      <c r="H305" s="1">
        <f t="shared" si="18"/>
        <v>6.9509496890873574</v>
      </c>
      <c r="I305" s="1">
        <f t="shared" si="19"/>
        <v>6.9120000000000015E-2</v>
      </c>
      <c r="J305">
        <v>6.78</v>
      </c>
      <c r="K305">
        <v>7.12577196077096</v>
      </c>
      <c r="L305">
        <v>3.3148446720009299</v>
      </c>
      <c r="M305">
        <v>91.575289278756102</v>
      </c>
    </row>
    <row r="306" spans="1:13" x14ac:dyDescent="0.2">
      <c r="A306">
        <v>7</v>
      </c>
      <c r="B306">
        <v>85</v>
      </c>
      <c r="C306">
        <v>0.4</v>
      </c>
      <c r="D306">
        <v>89.9</v>
      </c>
      <c r="E306">
        <v>0.4</v>
      </c>
      <c r="F306">
        <f t="shared" si="16"/>
        <v>85</v>
      </c>
      <c r="G306" s="1">
        <f t="shared" si="17"/>
        <v>74.600000000000009</v>
      </c>
      <c r="H306" s="1">
        <f t="shared" si="18"/>
        <v>9.7643564541554984</v>
      </c>
      <c r="I306" s="1">
        <f t="shared" si="19"/>
        <v>0.19152000000000005</v>
      </c>
      <c r="J306">
        <v>6.78</v>
      </c>
      <c r="K306">
        <v>17.183775144129498</v>
      </c>
      <c r="L306">
        <v>32.535983556394001</v>
      </c>
      <c r="M306">
        <v>22.499051172430299</v>
      </c>
    </row>
    <row r="307" spans="1:13" x14ac:dyDescent="0.2">
      <c r="A307">
        <v>7</v>
      </c>
      <c r="B307">
        <v>85</v>
      </c>
      <c r="C307">
        <v>0.4</v>
      </c>
      <c r="D307">
        <v>89.9</v>
      </c>
      <c r="E307">
        <v>0.6</v>
      </c>
      <c r="F307">
        <f t="shared" si="16"/>
        <v>85</v>
      </c>
      <c r="G307" s="1">
        <f t="shared" si="17"/>
        <v>72.2</v>
      </c>
      <c r="H307" s="1">
        <f t="shared" si="18"/>
        <v>9.2682016743192595</v>
      </c>
      <c r="I307" s="1">
        <f t="shared" si="19"/>
        <v>0.18864</v>
      </c>
      <c r="J307">
        <v>6.78</v>
      </c>
      <c r="K307">
        <v>13.9410539806775</v>
      </c>
      <c r="L307">
        <v>22.479033354929999</v>
      </c>
      <c r="M307">
        <v>26.4196791637095</v>
      </c>
    </row>
    <row r="308" spans="1:13" x14ac:dyDescent="0.2">
      <c r="A308">
        <v>7</v>
      </c>
      <c r="B308">
        <v>85</v>
      </c>
      <c r="C308">
        <v>0.4</v>
      </c>
      <c r="D308">
        <v>89.9</v>
      </c>
      <c r="E308">
        <v>0.8</v>
      </c>
      <c r="F308">
        <f t="shared" si="16"/>
        <v>85</v>
      </c>
      <c r="G308" s="1">
        <f t="shared" si="17"/>
        <v>69.8</v>
      </c>
      <c r="H308" s="1">
        <f t="shared" si="18"/>
        <v>8.7972651586502018</v>
      </c>
      <c r="I308" s="1">
        <f t="shared" si="19"/>
        <v>0.18576000000000004</v>
      </c>
      <c r="J308">
        <v>6.78</v>
      </c>
      <c r="K308">
        <v>12.522455883990199</v>
      </c>
      <c r="L308">
        <v>17.889315054507801</v>
      </c>
      <c r="M308">
        <v>29.8198435062946</v>
      </c>
    </row>
    <row r="309" spans="1:13" x14ac:dyDescent="0.2">
      <c r="A309">
        <v>7</v>
      </c>
      <c r="B309">
        <v>85</v>
      </c>
      <c r="C309">
        <v>0.4</v>
      </c>
      <c r="D309">
        <v>89.9</v>
      </c>
      <c r="E309">
        <v>1</v>
      </c>
      <c r="F309">
        <f t="shared" si="16"/>
        <v>85</v>
      </c>
      <c r="G309" s="1">
        <f t="shared" si="17"/>
        <v>67.400000000000006</v>
      </c>
      <c r="H309" s="1">
        <f t="shared" si="18"/>
        <v>8.3499798239224141</v>
      </c>
      <c r="I309" s="1">
        <f t="shared" si="19"/>
        <v>0.18288000000000004</v>
      </c>
      <c r="J309">
        <v>6.78</v>
      </c>
      <c r="K309">
        <v>9.0330711428987893</v>
      </c>
      <c r="L309">
        <v>6.1638995040579703</v>
      </c>
      <c r="M309">
        <v>62.429440609572097</v>
      </c>
    </row>
    <row r="310" spans="1:13" x14ac:dyDescent="0.2">
      <c r="A310">
        <v>7</v>
      </c>
      <c r="B310">
        <v>85</v>
      </c>
      <c r="C310">
        <v>0.6</v>
      </c>
      <c r="D310">
        <v>89.9</v>
      </c>
      <c r="E310">
        <v>0.4</v>
      </c>
      <c r="F310">
        <f t="shared" si="16"/>
        <v>85</v>
      </c>
      <c r="G310" s="1">
        <f t="shared" si="17"/>
        <v>71.8</v>
      </c>
      <c r="H310" s="1">
        <f t="shared" si="18"/>
        <v>9.1880049781907953</v>
      </c>
      <c r="I310" s="1">
        <f t="shared" si="19"/>
        <v>0.12544000000000002</v>
      </c>
      <c r="J310">
        <v>6.78</v>
      </c>
      <c r="K310">
        <v>12.356879241175999</v>
      </c>
      <c r="L310">
        <v>12.679186095494799</v>
      </c>
      <c r="M310">
        <v>41.517097943875399</v>
      </c>
    </row>
    <row r="311" spans="1:13" x14ac:dyDescent="0.2">
      <c r="A311">
        <v>7</v>
      </c>
      <c r="B311">
        <v>85</v>
      </c>
      <c r="C311">
        <v>0.6</v>
      </c>
      <c r="D311">
        <v>89.9</v>
      </c>
      <c r="E311">
        <v>0.6</v>
      </c>
      <c r="F311">
        <f t="shared" si="16"/>
        <v>85</v>
      </c>
      <c r="G311" s="1">
        <f t="shared" si="17"/>
        <v>69.399999999999991</v>
      </c>
      <c r="H311" s="1">
        <f t="shared" si="18"/>
        <v>8.7211155479602773</v>
      </c>
      <c r="I311" s="1">
        <f t="shared" si="19"/>
        <v>0.12352</v>
      </c>
      <c r="J311">
        <v>6.78</v>
      </c>
      <c r="K311">
        <v>10.1521094756973</v>
      </c>
      <c r="L311">
        <v>8.1177624408137206</v>
      </c>
      <c r="M311">
        <v>53.275743173620398</v>
      </c>
    </row>
    <row r="312" spans="1:13" x14ac:dyDescent="0.2">
      <c r="A312">
        <v>7</v>
      </c>
      <c r="B312">
        <v>85</v>
      </c>
      <c r="C312">
        <v>0.6</v>
      </c>
      <c r="D312">
        <v>89.9</v>
      </c>
      <c r="E312">
        <v>0.8</v>
      </c>
      <c r="F312">
        <f t="shared" si="16"/>
        <v>85</v>
      </c>
      <c r="G312" s="1">
        <f t="shared" si="17"/>
        <v>67</v>
      </c>
      <c r="H312" s="1">
        <f t="shared" si="18"/>
        <v>8.2776288467733909</v>
      </c>
      <c r="I312" s="1">
        <f t="shared" si="19"/>
        <v>0.12160000000000003</v>
      </c>
      <c r="J312">
        <v>6.78</v>
      </c>
      <c r="K312">
        <v>9.7686092467246404</v>
      </c>
      <c r="L312">
        <v>7.5599545307356903</v>
      </c>
      <c r="M312">
        <v>55.045664214300999</v>
      </c>
    </row>
    <row r="313" spans="1:13" x14ac:dyDescent="0.2">
      <c r="A313">
        <v>7</v>
      </c>
      <c r="B313">
        <v>85</v>
      </c>
      <c r="C313">
        <v>0.6</v>
      </c>
      <c r="D313">
        <v>89.9</v>
      </c>
      <c r="E313">
        <v>1</v>
      </c>
      <c r="F313">
        <f t="shared" si="16"/>
        <v>85</v>
      </c>
      <c r="G313" s="1">
        <f t="shared" si="17"/>
        <v>64.599999999999994</v>
      </c>
      <c r="H313" s="1">
        <f t="shared" si="18"/>
        <v>7.8561249245445515</v>
      </c>
      <c r="I313" s="1">
        <f t="shared" si="19"/>
        <v>0.11968000000000001</v>
      </c>
      <c r="J313">
        <v>6.78</v>
      </c>
      <c r="K313">
        <v>8.1410049727194096</v>
      </c>
      <c r="L313">
        <v>4.9322248362383299</v>
      </c>
      <c r="M313">
        <v>70.314471441189795</v>
      </c>
    </row>
    <row r="314" spans="1:13" x14ac:dyDescent="0.2">
      <c r="A314">
        <v>7</v>
      </c>
      <c r="B314">
        <v>85</v>
      </c>
      <c r="C314">
        <v>0.8</v>
      </c>
      <c r="D314">
        <v>89.9</v>
      </c>
      <c r="E314">
        <v>0.4</v>
      </c>
      <c r="F314">
        <f t="shared" si="16"/>
        <v>85</v>
      </c>
      <c r="G314" s="1">
        <f t="shared" si="17"/>
        <v>69</v>
      </c>
      <c r="H314" s="1">
        <f t="shared" si="18"/>
        <v>8.6456157322946154</v>
      </c>
      <c r="I314" s="1">
        <f t="shared" si="19"/>
        <v>9.240000000000001E-2</v>
      </c>
      <c r="J314">
        <v>6.78</v>
      </c>
      <c r="K314">
        <v>12.9326372966903</v>
      </c>
      <c r="L314">
        <v>15.6951154289832</v>
      </c>
      <c r="M314">
        <v>35.102022954231799</v>
      </c>
    </row>
    <row r="315" spans="1:13" x14ac:dyDescent="0.2">
      <c r="A315">
        <v>7</v>
      </c>
      <c r="B315">
        <v>85</v>
      </c>
      <c r="C315">
        <v>0.8</v>
      </c>
      <c r="D315">
        <v>89.9</v>
      </c>
      <c r="E315">
        <v>0.6</v>
      </c>
      <c r="F315">
        <f t="shared" si="16"/>
        <v>85</v>
      </c>
      <c r="G315" s="1">
        <f t="shared" si="17"/>
        <v>66.600000000000009</v>
      </c>
      <c r="H315" s="1">
        <f t="shared" si="18"/>
        <v>8.2058882494034666</v>
      </c>
      <c r="I315" s="1">
        <f t="shared" si="19"/>
        <v>9.0960000000000013E-2</v>
      </c>
      <c r="J315">
        <v>6.78</v>
      </c>
      <c r="K315">
        <v>9.7326241585596698</v>
      </c>
      <c r="L315">
        <v>7.4874706530990904</v>
      </c>
      <c r="M315">
        <v>55.373806877893301</v>
      </c>
    </row>
    <row r="316" spans="1:13" x14ac:dyDescent="0.2">
      <c r="A316">
        <v>7</v>
      </c>
      <c r="B316">
        <v>85</v>
      </c>
      <c r="C316">
        <v>0.8</v>
      </c>
      <c r="D316">
        <v>89.9</v>
      </c>
      <c r="E316">
        <v>0.8</v>
      </c>
      <c r="F316">
        <f t="shared" si="16"/>
        <v>85</v>
      </c>
      <c r="G316" s="1">
        <f t="shared" si="17"/>
        <v>64.2</v>
      </c>
      <c r="H316" s="1">
        <f t="shared" si="18"/>
        <v>7.7879181462560192</v>
      </c>
      <c r="I316" s="1">
        <f t="shared" si="19"/>
        <v>8.9520000000000002E-2</v>
      </c>
      <c r="J316">
        <v>6.78</v>
      </c>
      <c r="K316">
        <v>8.3806087351482006</v>
      </c>
      <c r="L316">
        <v>5.2538488610776799</v>
      </c>
      <c r="M316">
        <v>67.952830628005302</v>
      </c>
    </row>
    <row r="317" spans="1:13" x14ac:dyDescent="0.2">
      <c r="A317">
        <v>7</v>
      </c>
      <c r="B317">
        <v>85</v>
      </c>
      <c r="C317">
        <v>0.8</v>
      </c>
      <c r="D317">
        <v>89.9</v>
      </c>
      <c r="E317">
        <v>1</v>
      </c>
      <c r="F317">
        <f t="shared" si="16"/>
        <v>85</v>
      </c>
      <c r="G317" s="1">
        <f t="shared" si="17"/>
        <v>61.8</v>
      </c>
      <c r="H317" s="1">
        <f t="shared" si="18"/>
        <v>7.390415734640424</v>
      </c>
      <c r="I317" s="1">
        <f t="shared" si="19"/>
        <v>8.8080000000000019E-2</v>
      </c>
      <c r="J317">
        <v>6.78</v>
      </c>
      <c r="K317">
        <v>7.2360727641904896</v>
      </c>
      <c r="L317">
        <v>4.0743929200132696</v>
      </c>
      <c r="M317">
        <v>75.657080608294095</v>
      </c>
    </row>
    <row r="318" spans="1:13" x14ac:dyDescent="0.2">
      <c r="A318">
        <v>7</v>
      </c>
      <c r="B318">
        <v>85</v>
      </c>
      <c r="C318">
        <v>1</v>
      </c>
      <c r="D318">
        <v>89.9</v>
      </c>
      <c r="E318">
        <v>0.4</v>
      </c>
      <c r="F318">
        <f t="shared" si="16"/>
        <v>85</v>
      </c>
      <c r="G318" s="1">
        <f t="shared" si="17"/>
        <v>66.2</v>
      </c>
      <c r="H318" s="1">
        <f t="shared" si="18"/>
        <v>8.1347517750311056</v>
      </c>
      <c r="I318" s="1">
        <f t="shared" si="19"/>
        <v>7.2576000000000002E-2</v>
      </c>
      <c r="J318">
        <v>6.78</v>
      </c>
      <c r="K318">
        <v>11.046269833276</v>
      </c>
      <c r="L318">
        <v>10.926955624305601</v>
      </c>
      <c r="M318">
        <v>43.065156583313403</v>
      </c>
    </row>
    <row r="319" spans="1:13" x14ac:dyDescent="0.2">
      <c r="A319">
        <v>7</v>
      </c>
      <c r="B319">
        <v>85</v>
      </c>
      <c r="C319">
        <v>1</v>
      </c>
      <c r="D319">
        <v>89.9</v>
      </c>
      <c r="E319">
        <v>0.6</v>
      </c>
      <c r="F319">
        <f t="shared" si="16"/>
        <v>85</v>
      </c>
      <c r="G319" s="1">
        <f t="shared" si="17"/>
        <v>63.8</v>
      </c>
      <c r="H319" s="1">
        <f t="shared" si="18"/>
        <v>7.7202796903675326</v>
      </c>
      <c r="I319" s="1">
        <f t="shared" si="19"/>
        <v>7.1424000000000015E-2</v>
      </c>
      <c r="J319">
        <v>6.78</v>
      </c>
      <c r="K319">
        <v>8.8137655246144302</v>
      </c>
      <c r="L319">
        <v>6.28894261826958</v>
      </c>
      <c r="M319">
        <v>59.7026244722922</v>
      </c>
    </row>
    <row r="320" spans="1:13" x14ac:dyDescent="0.2">
      <c r="A320">
        <v>7</v>
      </c>
      <c r="B320">
        <v>85</v>
      </c>
      <c r="C320">
        <v>1</v>
      </c>
      <c r="D320">
        <v>89.9</v>
      </c>
      <c r="E320">
        <v>0.8</v>
      </c>
      <c r="F320">
        <f t="shared" si="16"/>
        <v>85</v>
      </c>
      <c r="G320" s="1">
        <f t="shared" si="17"/>
        <v>61.4</v>
      </c>
      <c r="H320" s="1">
        <f t="shared" si="18"/>
        <v>7.3260703377995338</v>
      </c>
      <c r="I320" s="1">
        <f t="shared" si="19"/>
        <v>7.0272000000000015E-2</v>
      </c>
      <c r="J320">
        <v>6.78</v>
      </c>
      <c r="K320">
        <v>7.58233283782259</v>
      </c>
      <c r="L320">
        <v>4.4502366091727303</v>
      </c>
      <c r="M320">
        <v>72.582062445336902</v>
      </c>
    </row>
    <row r="321" spans="1:13" x14ac:dyDescent="0.2">
      <c r="A321">
        <v>7</v>
      </c>
      <c r="B321">
        <v>85</v>
      </c>
      <c r="C321">
        <v>1</v>
      </c>
      <c r="D321">
        <v>89.9</v>
      </c>
      <c r="E321">
        <v>1</v>
      </c>
      <c r="F321">
        <f t="shared" si="16"/>
        <v>85</v>
      </c>
      <c r="G321" s="1">
        <f t="shared" si="17"/>
        <v>59</v>
      </c>
      <c r="H321" s="1">
        <f t="shared" si="18"/>
        <v>6.9509496890873574</v>
      </c>
      <c r="I321" s="1">
        <f t="shared" si="19"/>
        <v>6.9120000000000015E-2</v>
      </c>
      <c r="J321">
        <v>6.78</v>
      </c>
      <c r="K321">
        <v>6.6592568821929303</v>
      </c>
      <c r="L321">
        <v>3.2644689128218398</v>
      </c>
      <c r="M321">
        <v>86.900603641380698</v>
      </c>
    </row>
    <row r="322" spans="1:13" x14ac:dyDescent="0.2">
      <c r="A322">
        <v>7</v>
      </c>
      <c r="B322">
        <v>90</v>
      </c>
      <c r="C322">
        <v>0.4</v>
      </c>
      <c r="D322">
        <v>9.9</v>
      </c>
      <c r="E322">
        <v>0.4</v>
      </c>
      <c r="F322">
        <f t="shared" si="16"/>
        <v>90</v>
      </c>
      <c r="G322" s="1">
        <f t="shared" si="17"/>
        <v>79.600000000000009</v>
      </c>
      <c r="H322" s="1">
        <f t="shared" si="18"/>
        <v>10.469387455299206</v>
      </c>
      <c r="I322" s="1">
        <f t="shared" si="19"/>
        <v>0.20352000000000006</v>
      </c>
      <c r="J322">
        <v>6.78</v>
      </c>
      <c r="K322">
        <v>32.952173129879498</v>
      </c>
      <c r="L322">
        <v>121.173131584678</v>
      </c>
      <c r="M322">
        <v>11.5847666704336</v>
      </c>
    </row>
    <row r="323" spans="1:13" x14ac:dyDescent="0.2">
      <c r="A323">
        <v>7</v>
      </c>
      <c r="B323">
        <v>90</v>
      </c>
      <c r="C323">
        <v>0.4</v>
      </c>
      <c r="D323">
        <v>9.9</v>
      </c>
      <c r="E323">
        <v>0.6</v>
      </c>
      <c r="F323">
        <f t="shared" ref="F323:F386" si="20">B323</f>
        <v>90</v>
      </c>
      <c r="G323" s="1">
        <f t="shared" ref="G323:G386" si="21">F323-(A323-1)*2*(C323+E323)-2*C323</f>
        <v>77.2</v>
      </c>
      <c r="H323" s="1">
        <f t="shared" ref="H323:H386" si="22">2.34*0.000001257*(0.5*A323^2*(F323+G323))/(1+2.73*(F323-G323)/(F323+G323))*1000</f>
        <v>9.9661842159569396</v>
      </c>
      <c r="I323" s="1">
        <f t="shared" ref="I323:I386" si="23">0.0000000168*4*0.5*(F323+G323)/(0.00007*C323)</f>
        <v>0.20063999999999999</v>
      </c>
      <c r="J323">
        <v>6.78</v>
      </c>
      <c r="K323">
        <v>16.6560346800308</v>
      </c>
      <c r="L323">
        <v>28.413421806267099</v>
      </c>
      <c r="M323">
        <v>24.972248043794501</v>
      </c>
    </row>
    <row r="324" spans="1:13" x14ac:dyDescent="0.2">
      <c r="A324">
        <v>7</v>
      </c>
      <c r="B324">
        <v>90</v>
      </c>
      <c r="C324">
        <v>0.4</v>
      </c>
      <c r="D324">
        <v>9.9</v>
      </c>
      <c r="E324">
        <v>0.8</v>
      </c>
      <c r="F324">
        <f t="shared" si="20"/>
        <v>90</v>
      </c>
      <c r="G324" s="1">
        <f t="shared" si="21"/>
        <v>74.8</v>
      </c>
      <c r="H324" s="1">
        <f t="shared" si="22"/>
        <v>9.4872605302206523</v>
      </c>
      <c r="I324" s="1">
        <f t="shared" si="23"/>
        <v>0.19776000000000002</v>
      </c>
      <c r="J324">
        <v>6.78</v>
      </c>
      <c r="K324">
        <v>16.598213407504598</v>
      </c>
      <c r="L324">
        <v>19.188279487550901</v>
      </c>
      <c r="M324">
        <v>36.8497775726767</v>
      </c>
    </row>
    <row r="325" spans="1:13" x14ac:dyDescent="0.2">
      <c r="A325">
        <v>7</v>
      </c>
      <c r="B325">
        <v>90</v>
      </c>
      <c r="C325">
        <v>0.4</v>
      </c>
      <c r="D325">
        <v>9.9</v>
      </c>
      <c r="E325">
        <v>1</v>
      </c>
      <c r="F325">
        <f t="shared" si="20"/>
        <v>90</v>
      </c>
      <c r="G325" s="1">
        <f t="shared" si="21"/>
        <v>72.400000000000006</v>
      </c>
      <c r="H325" s="1">
        <f t="shared" si="22"/>
        <v>9.0311793394358695</v>
      </c>
      <c r="I325" s="1">
        <f t="shared" si="23"/>
        <v>0.19488000000000003</v>
      </c>
      <c r="J325">
        <v>6.78</v>
      </c>
      <c r="K325">
        <v>13.6442996434533</v>
      </c>
      <c r="L325">
        <v>12.50669993797</v>
      </c>
      <c r="M325">
        <v>46.474858942656098</v>
      </c>
    </row>
    <row r="326" spans="1:13" x14ac:dyDescent="0.2">
      <c r="A326">
        <v>7</v>
      </c>
      <c r="B326">
        <v>90</v>
      </c>
      <c r="C326">
        <v>0.6</v>
      </c>
      <c r="D326">
        <v>9.9</v>
      </c>
      <c r="E326">
        <v>0.4</v>
      </c>
      <c r="F326">
        <f t="shared" si="20"/>
        <v>90</v>
      </c>
      <c r="G326" s="1">
        <f t="shared" si="21"/>
        <v>76.8</v>
      </c>
      <c r="H326" s="1">
        <f t="shared" si="22"/>
        <v>9.8847177874460144</v>
      </c>
      <c r="I326" s="1">
        <f t="shared" si="23"/>
        <v>0.13344000000000003</v>
      </c>
      <c r="J326">
        <v>6.78</v>
      </c>
      <c r="K326">
        <v>25.483038466498702</v>
      </c>
      <c r="L326">
        <v>81.335932082827995</v>
      </c>
      <c r="M326">
        <v>13.346836000932401</v>
      </c>
    </row>
    <row r="327" spans="1:13" x14ac:dyDescent="0.2">
      <c r="A327">
        <v>7</v>
      </c>
      <c r="B327">
        <v>90</v>
      </c>
      <c r="C327">
        <v>0.6</v>
      </c>
      <c r="D327">
        <v>9.9</v>
      </c>
      <c r="E327">
        <v>0.6</v>
      </c>
      <c r="F327">
        <f t="shared" si="20"/>
        <v>90</v>
      </c>
      <c r="G327" s="1">
        <f t="shared" si="21"/>
        <v>74.399999999999991</v>
      </c>
      <c r="H327" s="1">
        <f t="shared" si="22"/>
        <v>9.4096978367905351</v>
      </c>
      <c r="I327" s="1">
        <f t="shared" si="23"/>
        <v>0.13152</v>
      </c>
      <c r="J327">
        <v>6.78</v>
      </c>
      <c r="K327">
        <v>15.0270506443711</v>
      </c>
      <c r="L327">
        <v>23.177924654275898</v>
      </c>
      <c r="M327">
        <v>27.619051862541301</v>
      </c>
    </row>
    <row r="328" spans="1:13" x14ac:dyDescent="0.2">
      <c r="A328">
        <v>7</v>
      </c>
      <c r="B328">
        <v>90</v>
      </c>
      <c r="C328">
        <v>0.6</v>
      </c>
      <c r="D328">
        <v>9.9</v>
      </c>
      <c r="E328">
        <v>0.8</v>
      </c>
      <c r="F328">
        <f t="shared" si="20"/>
        <v>90</v>
      </c>
      <c r="G328" s="1">
        <f t="shared" si="21"/>
        <v>72</v>
      </c>
      <c r="H328" s="1">
        <f t="shared" si="22"/>
        <v>8.9572919846547325</v>
      </c>
      <c r="I328" s="1">
        <f t="shared" si="23"/>
        <v>0.12960000000000002</v>
      </c>
      <c r="J328">
        <v>6.78</v>
      </c>
      <c r="K328">
        <v>15.377553624725</v>
      </c>
      <c r="L328">
        <v>16.2613321390137</v>
      </c>
      <c r="M328">
        <v>40.284751777258002</v>
      </c>
    </row>
    <row r="329" spans="1:13" x14ac:dyDescent="0.2">
      <c r="A329">
        <v>7</v>
      </c>
      <c r="B329">
        <v>90</v>
      </c>
      <c r="C329">
        <v>0.6</v>
      </c>
      <c r="D329">
        <v>9.9</v>
      </c>
      <c r="E329">
        <v>1</v>
      </c>
      <c r="F329">
        <f t="shared" si="20"/>
        <v>90</v>
      </c>
      <c r="G329" s="1">
        <f t="shared" si="21"/>
        <v>69.599999999999994</v>
      </c>
      <c r="H329" s="1">
        <f t="shared" si="22"/>
        <v>8.5261918628170097</v>
      </c>
      <c r="I329" s="1">
        <f t="shared" si="23"/>
        <v>0.12768000000000002</v>
      </c>
      <c r="J329">
        <v>6.78</v>
      </c>
      <c r="K329">
        <v>12.7299377613154</v>
      </c>
      <c r="L329">
        <v>10.590061257450699</v>
      </c>
      <c r="M329">
        <v>51.207947659624303</v>
      </c>
    </row>
    <row r="330" spans="1:13" x14ac:dyDescent="0.2">
      <c r="A330">
        <v>7</v>
      </c>
      <c r="B330">
        <v>90</v>
      </c>
      <c r="C330">
        <v>0.8</v>
      </c>
      <c r="D330">
        <v>9.9</v>
      </c>
      <c r="E330">
        <v>0.4</v>
      </c>
      <c r="F330">
        <f t="shared" si="20"/>
        <v>90</v>
      </c>
      <c r="G330" s="1">
        <f t="shared" si="21"/>
        <v>74</v>
      </c>
      <c r="H330" s="1">
        <f t="shared" si="22"/>
        <v>9.3327630670261925</v>
      </c>
      <c r="I330" s="1">
        <f t="shared" si="23"/>
        <v>9.8400000000000015E-2</v>
      </c>
      <c r="J330">
        <v>6.78</v>
      </c>
      <c r="K330">
        <v>21.7671326648586</v>
      </c>
      <c r="L330">
        <v>56.239072111439697</v>
      </c>
      <c r="M330">
        <v>16.4881769554591</v>
      </c>
    </row>
    <row r="331" spans="1:13" x14ac:dyDescent="0.2">
      <c r="A331">
        <v>7</v>
      </c>
      <c r="B331">
        <v>90</v>
      </c>
      <c r="C331">
        <v>0.8</v>
      </c>
      <c r="D331">
        <v>9.9</v>
      </c>
      <c r="E331">
        <v>0.6</v>
      </c>
      <c r="F331">
        <f t="shared" si="20"/>
        <v>90</v>
      </c>
      <c r="G331" s="1">
        <f t="shared" si="21"/>
        <v>71.600000000000009</v>
      </c>
      <c r="H331" s="1">
        <f t="shared" si="22"/>
        <v>8.8839962332112261</v>
      </c>
      <c r="I331" s="1">
        <f t="shared" si="23"/>
        <v>9.6960000000000032E-2</v>
      </c>
      <c r="J331">
        <v>6.78</v>
      </c>
      <c r="K331">
        <v>18.289164929379002</v>
      </c>
      <c r="L331">
        <v>25.730979138091399</v>
      </c>
      <c r="M331">
        <v>30.279390288741698</v>
      </c>
    </row>
    <row r="332" spans="1:13" x14ac:dyDescent="0.2">
      <c r="A332">
        <v>7</v>
      </c>
      <c r="B332">
        <v>90</v>
      </c>
      <c r="C332">
        <v>0.8</v>
      </c>
      <c r="D332">
        <v>9.9</v>
      </c>
      <c r="E332">
        <v>0.8</v>
      </c>
      <c r="F332">
        <f t="shared" si="20"/>
        <v>90</v>
      </c>
      <c r="G332" s="1">
        <f t="shared" si="21"/>
        <v>69.2</v>
      </c>
      <c r="H332" s="1">
        <f t="shared" si="22"/>
        <v>8.456326956989404</v>
      </c>
      <c r="I332" s="1">
        <f t="shared" si="23"/>
        <v>9.5519999999999994E-2</v>
      </c>
      <c r="J332">
        <v>6.78</v>
      </c>
      <c r="K332">
        <v>13.946666743934401</v>
      </c>
      <c r="L332">
        <v>13.673211747373101</v>
      </c>
      <c r="M332">
        <v>43.451967527392299</v>
      </c>
    </row>
    <row r="333" spans="1:13" x14ac:dyDescent="0.2">
      <c r="A333">
        <v>7</v>
      </c>
      <c r="B333">
        <v>90</v>
      </c>
      <c r="C333">
        <v>0.8</v>
      </c>
      <c r="D333">
        <v>9.9</v>
      </c>
      <c r="E333">
        <v>1</v>
      </c>
      <c r="F333">
        <f t="shared" si="20"/>
        <v>90</v>
      </c>
      <c r="G333" s="1">
        <f t="shared" si="21"/>
        <v>66.800000000000011</v>
      </c>
      <c r="H333" s="1">
        <f t="shared" si="22"/>
        <v>8.0485614709743096</v>
      </c>
      <c r="I333" s="1">
        <f t="shared" si="23"/>
        <v>9.4080000000000011E-2</v>
      </c>
      <c r="J333">
        <v>6.78</v>
      </c>
      <c r="K333">
        <v>11.687471955972899</v>
      </c>
      <c r="L333">
        <v>8.7884186310913393</v>
      </c>
      <c r="M333">
        <v>56.652542846068599</v>
      </c>
    </row>
    <row r="334" spans="1:13" x14ac:dyDescent="0.2">
      <c r="A334">
        <v>7</v>
      </c>
      <c r="B334">
        <v>90</v>
      </c>
      <c r="C334">
        <v>1</v>
      </c>
      <c r="D334">
        <v>9.9</v>
      </c>
      <c r="E334">
        <v>0.4</v>
      </c>
      <c r="F334">
        <f t="shared" si="20"/>
        <v>90</v>
      </c>
      <c r="G334" s="1">
        <f t="shared" si="21"/>
        <v>71.2</v>
      </c>
      <c r="H334" s="1">
        <f t="shared" si="22"/>
        <v>8.8112863061414224</v>
      </c>
      <c r="I334" s="1">
        <f t="shared" si="23"/>
        <v>7.7376E-2</v>
      </c>
      <c r="J334">
        <v>6.78</v>
      </c>
      <c r="K334">
        <v>18.811546473485301</v>
      </c>
      <c r="L334">
        <v>47.5892028830106</v>
      </c>
      <c r="M334">
        <v>16.839361938737898</v>
      </c>
    </row>
    <row r="335" spans="1:13" x14ac:dyDescent="0.2">
      <c r="A335">
        <v>7</v>
      </c>
      <c r="B335">
        <v>90</v>
      </c>
      <c r="C335">
        <v>1</v>
      </c>
      <c r="D335">
        <v>9.9</v>
      </c>
      <c r="E335">
        <v>0.6</v>
      </c>
      <c r="F335">
        <f t="shared" si="20"/>
        <v>90</v>
      </c>
      <c r="G335" s="1">
        <f t="shared" si="21"/>
        <v>68.8</v>
      </c>
      <c r="H335" s="1">
        <f t="shared" si="22"/>
        <v>8.38701473557939</v>
      </c>
      <c r="I335" s="1">
        <f t="shared" si="23"/>
        <v>7.6224000000000014E-2</v>
      </c>
      <c r="J335">
        <v>6.78</v>
      </c>
      <c r="K335">
        <v>16.176955049293099</v>
      </c>
      <c r="L335">
        <v>20.445380111990701</v>
      </c>
      <c r="M335">
        <v>33.706305424884697</v>
      </c>
    </row>
    <row r="336" spans="1:13" x14ac:dyDescent="0.2">
      <c r="A336">
        <v>7</v>
      </c>
      <c r="B336">
        <v>90</v>
      </c>
      <c r="C336">
        <v>1</v>
      </c>
      <c r="D336">
        <v>9.9</v>
      </c>
      <c r="E336">
        <v>0.8</v>
      </c>
      <c r="F336">
        <f t="shared" si="20"/>
        <v>90</v>
      </c>
      <c r="G336" s="1">
        <f t="shared" si="21"/>
        <v>66.400000000000006</v>
      </c>
      <c r="H336" s="1">
        <f t="shared" si="22"/>
        <v>7.9824568164254543</v>
      </c>
      <c r="I336" s="1">
        <f t="shared" si="23"/>
        <v>7.5072000000000014E-2</v>
      </c>
      <c r="J336">
        <v>6.78</v>
      </c>
      <c r="K336">
        <v>12.561133750519501</v>
      </c>
      <c r="L336">
        <v>10.948951707090201</v>
      </c>
      <c r="M336">
        <v>48.872647048752803</v>
      </c>
    </row>
    <row r="337" spans="1:13" x14ac:dyDescent="0.2">
      <c r="A337">
        <v>7</v>
      </c>
      <c r="B337">
        <v>90</v>
      </c>
      <c r="C337">
        <v>1</v>
      </c>
      <c r="D337">
        <v>9.9</v>
      </c>
      <c r="E337">
        <v>1</v>
      </c>
      <c r="F337">
        <f t="shared" si="20"/>
        <v>90</v>
      </c>
      <c r="G337" s="1">
        <f t="shared" si="21"/>
        <v>64</v>
      </c>
      <c r="H337" s="1">
        <f t="shared" si="22"/>
        <v>7.5965211039203471</v>
      </c>
      <c r="I337" s="1">
        <f t="shared" si="23"/>
        <v>7.3920000000000013E-2</v>
      </c>
      <c r="J337">
        <v>6.78</v>
      </c>
      <c r="K337">
        <v>10.647580659747399</v>
      </c>
      <c r="L337">
        <v>7.6646552246250996</v>
      </c>
      <c r="M337">
        <v>59.179034711466201</v>
      </c>
    </row>
    <row r="338" spans="1:13" x14ac:dyDescent="0.2">
      <c r="A338">
        <v>7</v>
      </c>
      <c r="B338">
        <v>90</v>
      </c>
      <c r="C338">
        <v>0.4</v>
      </c>
      <c r="D338">
        <v>29.9</v>
      </c>
      <c r="E338">
        <v>0.4</v>
      </c>
      <c r="F338">
        <f t="shared" si="20"/>
        <v>90</v>
      </c>
      <c r="G338" s="1">
        <f t="shared" si="21"/>
        <v>79.600000000000009</v>
      </c>
      <c r="H338" s="1">
        <f t="shared" si="22"/>
        <v>10.469387455299206</v>
      </c>
      <c r="I338" s="1">
        <f t="shared" si="23"/>
        <v>0.20352000000000006</v>
      </c>
      <c r="J338">
        <v>6.78</v>
      </c>
      <c r="K338">
        <v>24.7978916791096</v>
      </c>
      <c r="L338">
        <v>71.593671502991299</v>
      </c>
      <c r="M338">
        <v>14.755355796831401</v>
      </c>
    </row>
    <row r="339" spans="1:13" x14ac:dyDescent="0.2">
      <c r="A339">
        <v>7</v>
      </c>
      <c r="B339">
        <v>90</v>
      </c>
      <c r="C339">
        <v>0.4</v>
      </c>
      <c r="D339">
        <v>29.9</v>
      </c>
      <c r="E339">
        <v>0.6</v>
      </c>
      <c r="F339">
        <f t="shared" si="20"/>
        <v>90</v>
      </c>
      <c r="G339" s="1">
        <f t="shared" si="21"/>
        <v>77.2</v>
      </c>
      <c r="H339" s="1">
        <f t="shared" si="22"/>
        <v>9.9661842159569396</v>
      </c>
      <c r="I339" s="1">
        <f t="shared" si="23"/>
        <v>0.20063999999999999</v>
      </c>
      <c r="J339">
        <v>6.78</v>
      </c>
      <c r="K339">
        <v>17.945166178792402</v>
      </c>
      <c r="L339">
        <v>24.599456570897399</v>
      </c>
      <c r="M339">
        <v>31.076459437218201</v>
      </c>
    </row>
    <row r="340" spans="1:13" x14ac:dyDescent="0.2">
      <c r="A340">
        <v>7</v>
      </c>
      <c r="B340">
        <v>90</v>
      </c>
      <c r="C340">
        <v>0.4</v>
      </c>
      <c r="D340">
        <v>29.9</v>
      </c>
      <c r="E340">
        <v>0.8</v>
      </c>
      <c r="F340">
        <f t="shared" si="20"/>
        <v>90</v>
      </c>
      <c r="G340" s="1">
        <f t="shared" si="21"/>
        <v>74.8</v>
      </c>
      <c r="H340" s="1">
        <f t="shared" si="22"/>
        <v>9.4872605302206523</v>
      </c>
      <c r="I340" s="1">
        <f t="shared" si="23"/>
        <v>0.19776000000000002</v>
      </c>
      <c r="J340">
        <v>6.78</v>
      </c>
      <c r="K340">
        <v>14.800933877898601</v>
      </c>
      <c r="L340">
        <v>14.561197281602199</v>
      </c>
      <c r="M340">
        <v>43.301365778168602</v>
      </c>
    </row>
    <row r="341" spans="1:13" x14ac:dyDescent="0.2">
      <c r="A341">
        <v>7</v>
      </c>
      <c r="B341">
        <v>90</v>
      </c>
      <c r="C341">
        <v>0.4</v>
      </c>
      <c r="D341">
        <v>29.9</v>
      </c>
      <c r="E341">
        <v>1</v>
      </c>
      <c r="F341">
        <f t="shared" si="20"/>
        <v>90</v>
      </c>
      <c r="G341" s="1">
        <f t="shared" si="21"/>
        <v>72.400000000000006</v>
      </c>
      <c r="H341" s="1">
        <f t="shared" si="22"/>
        <v>9.0311793394358695</v>
      </c>
      <c r="I341" s="1">
        <f t="shared" si="23"/>
        <v>0.19488000000000003</v>
      </c>
      <c r="J341">
        <v>6.78</v>
      </c>
      <c r="K341">
        <v>12.3653814194014</v>
      </c>
      <c r="L341">
        <v>9.76746621855321</v>
      </c>
      <c r="M341">
        <v>53.930588747401302</v>
      </c>
    </row>
    <row r="342" spans="1:13" x14ac:dyDescent="0.2">
      <c r="A342">
        <v>7</v>
      </c>
      <c r="B342">
        <v>90</v>
      </c>
      <c r="C342">
        <v>0.6</v>
      </c>
      <c r="D342">
        <v>29.9</v>
      </c>
      <c r="E342">
        <v>0.4</v>
      </c>
      <c r="F342">
        <f t="shared" si="20"/>
        <v>90</v>
      </c>
      <c r="G342" s="1">
        <f t="shared" si="21"/>
        <v>76.8</v>
      </c>
      <c r="H342" s="1">
        <f t="shared" si="22"/>
        <v>9.8847177874460144</v>
      </c>
      <c r="I342" s="1">
        <f t="shared" si="23"/>
        <v>0.13344000000000003</v>
      </c>
      <c r="J342">
        <v>6.78</v>
      </c>
      <c r="K342">
        <v>27.458956632798099</v>
      </c>
      <c r="L342">
        <v>63.695994694290903</v>
      </c>
      <c r="M342">
        <v>18.3645998283491</v>
      </c>
    </row>
    <row r="343" spans="1:13" x14ac:dyDescent="0.2">
      <c r="A343">
        <v>7</v>
      </c>
      <c r="B343">
        <v>90</v>
      </c>
      <c r="C343">
        <v>0.6</v>
      </c>
      <c r="D343">
        <v>29.9</v>
      </c>
      <c r="E343">
        <v>0.6</v>
      </c>
      <c r="F343">
        <f t="shared" si="20"/>
        <v>90</v>
      </c>
      <c r="G343" s="1">
        <f t="shared" si="21"/>
        <v>74.399999999999991</v>
      </c>
      <c r="H343" s="1">
        <f t="shared" si="22"/>
        <v>9.4096978367905351</v>
      </c>
      <c r="I343" s="1">
        <f t="shared" si="23"/>
        <v>0.13152</v>
      </c>
      <c r="J343">
        <v>6.78</v>
      </c>
      <c r="K343">
        <v>17.263132648287399</v>
      </c>
      <c r="L343">
        <v>21.463519003161199</v>
      </c>
      <c r="M343">
        <v>34.2632253482018</v>
      </c>
    </row>
    <row r="344" spans="1:13" x14ac:dyDescent="0.2">
      <c r="A344">
        <v>7</v>
      </c>
      <c r="B344">
        <v>90</v>
      </c>
      <c r="C344">
        <v>0.6</v>
      </c>
      <c r="D344">
        <v>29.9</v>
      </c>
      <c r="E344">
        <v>0.8</v>
      </c>
      <c r="F344">
        <f t="shared" si="20"/>
        <v>90</v>
      </c>
      <c r="G344" s="1">
        <f t="shared" si="21"/>
        <v>72</v>
      </c>
      <c r="H344" s="1">
        <f t="shared" si="22"/>
        <v>8.9572919846547325</v>
      </c>
      <c r="I344" s="1">
        <f t="shared" si="23"/>
        <v>0.12960000000000002</v>
      </c>
      <c r="J344">
        <v>6.78</v>
      </c>
      <c r="K344">
        <v>13.5888778700477</v>
      </c>
      <c r="L344">
        <v>12.1928005374546</v>
      </c>
      <c r="M344">
        <v>47.477701806932799</v>
      </c>
    </row>
    <row r="345" spans="1:13" x14ac:dyDescent="0.2">
      <c r="A345">
        <v>7</v>
      </c>
      <c r="B345">
        <v>90</v>
      </c>
      <c r="C345">
        <v>0.6</v>
      </c>
      <c r="D345">
        <v>29.9</v>
      </c>
      <c r="E345">
        <v>1</v>
      </c>
      <c r="F345">
        <f t="shared" si="20"/>
        <v>90</v>
      </c>
      <c r="G345" s="1">
        <f t="shared" si="21"/>
        <v>69.599999999999994</v>
      </c>
      <c r="H345" s="1">
        <f t="shared" si="22"/>
        <v>8.5261918628170097</v>
      </c>
      <c r="I345" s="1">
        <f t="shared" si="23"/>
        <v>0.12768000000000002</v>
      </c>
      <c r="J345">
        <v>6.78</v>
      </c>
      <c r="K345">
        <v>11.504327971139</v>
      </c>
      <c r="L345">
        <v>8.2463239527502594</v>
      </c>
      <c r="M345">
        <v>59.4306424006311</v>
      </c>
    </row>
    <row r="346" spans="1:13" x14ac:dyDescent="0.2">
      <c r="A346">
        <v>7</v>
      </c>
      <c r="B346">
        <v>90</v>
      </c>
      <c r="C346">
        <v>0.8</v>
      </c>
      <c r="D346">
        <v>29.9</v>
      </c>
      <c r="E346">
        <v>0.4</v>
      </c>
      <c r="F346">
        <f t="shared" si="20"/>
        <v>90</v>
      </c>
      <c r="G346" s="1">
        <f t="shared" si="21"/>
        <v>74</v>
      </c>
      <c r="H346" s="1">
        <f t="shared" si="22"/>
        <v>9.3327630670261925</v>
      </c>
      <c r="I346" s="1">
        <f t="shared" si="23"/>
        <v>9.8400000000000015E-2</v>
      </c>
      <c r="J346">
        <v>6.78</v>
      </c>
      <c r="K346">
        <v>16.870829704481601</v>
      </c>
      <c r="L346">
        <v>34.598331212344704</v>
      </c>
      <c r="M346">
        <v>20.772599694844601</v>
      </c>
    </row>
    <row r="347" spans="1:13" x14ac:dyDescent="0.2">
      <c r="A347">
        <v>7</v>
      </c>
      <c r="B347">
        <v>90</v>
      </c>
      <c r="C347">
        <v>0.8</v>
      </c>
      <c r="D347">
        <v>29.9</v>
      </c>
      <c r="E347">
        <v>0.6</v>
      </c>
      <c r="F347">
        <f t="shared" si="20"/>
        <v>90</v>
      </c>
      <c r="G347" s="1">
        <f t="shared" si="21"/>
        <v>71.600000000000009</v>
      </c>
      <c r="H347" s="1">
        <f t="shared" si="22"/>
        <v>8.8839962332112261</v>
      </c>
      <c r="I347" s="1">
        <f t="shared" si="23"/>
        <v>9.6960000000000032E-2</v>
      </c>
      <c r="J347">
        <v>6.78</v>
      </c>
      <c r="K347">
        <v>15.330921889562299</v>
      </c>
      <c r="L347">
        <v>17.585546103707799</v>
      </c>
      <c r="M347">
        <v>37.138296029417297</v>
      </c>
    </row>
    <row r="348" spans="1:13" x14ac:dyDescent="0.2">
      <c r="A348">
        <v>7</v>
      </c>
      <c r="B348">
        <v>90</v>
      </c>
      <c r="C348">
        <v>0.8</v>
      </c>
      <c r="D348">
        <v>29.9</v>
      </c>
      <c r="E348">
        <v>0.8</v>
      </c>
      <c r="F348">
        <f t="shared" si="20"/>
        <v>90</v>
      </c>
      <c r="G348" s="1">
        <f t="shared" si="21"/>
        <v>69.2</v>
      </c>
      <c r="H348" s="1">
        <f t="shared" si="22"/>
        <v>8.456326956989404</v>
      </c>
      <c r="I348" s="1">
        <f t="shared" si="23"/>
        <v>9.5519999999999994E-2</v>
      </c>
      <c r="J348">
        <v>6.78</v>
      </c>
      <c r="K348">
        <v>12.2833850739824</v>
      </c>
      <c r="L348">
        <v>10.014828123397599</v>
      </c>
      <c r="M348">
        <v>52.249739413517098</v>
      </c>
    </row>
    <row r="349" spans="1:13" x14ac:dyDescent="0.2">
      <c r="A349">
        <v>7</v>
      </c>
      <c r="B349">
        <v>90</v>
      </c>
      <c r="C349">
        <v>0.8</v>
      </c>
      <c r="D349">
        <v>29.9</v>
      </c>
      <c r="E349">
        <v>1</v>
      </c>
      <c r="F349">
        <f t="shared" si="20"/>
        <v>90</v>
      </c>
      <c r="G349" s="1">
        <f t="shared" si="21"/>
        <v>66.800000000000011</v>
      </c>
      <c r="H349" s="1">
        <f t="shared" si="22"/>
        <v>8.0485614709743096</v>
      </c>
      <c r="I349" s="1">
        <f t="shared" si="23"/>
        <v>9.4080000000000011E-2</v>
      </c>
      <c r="J349">
        <v>6.78</v>
      </c>
      <c r="K349">
        <v>10.5087593261312</v>
      </c>
      <c r="L349">
        <v>6.99821666220409</v>
      </c>
      <c r="M349">
        <v>63.969598383171999</v>
      </c>
    </row>
    <row r="350" spans="1:13" x14ac:dyDescent="0.2">
      <c r="A350">
        <v>7</v>
      </c>
      <c r="B350">
        <v>90</v>
      </c>
      <c r="C350">
        <v>1</v>
      </c>
      <c r="D350">
        <v>29.9</v>
      </c>
      <c r="E350">
        <v>0.4</v>
      </c>
      <c r="F350">
        <f t="shared" si="20"/>
        <v>90</v>
      </c>
      <c r="G350" s="1">
        <f t="shared" si="21"/>
        <v>71.2</v>
      </c>
      <c r="H350" s="1">
        <f t="shared" si="22"/>
        <v>8.8112863061414224</v>
      </c>
      <c r="I350" s="1">
        <f t="shared" si="23"/>
        <v>7.7376E-2</v>
      </c>
      <c r="J350">
        <v>6.78</v>
      </c>
      <c r="K350">
        <v>21.135075868539499</v>
      </c>
      <c r="L350">
        <v>39.8388264802946</v>
      </c>
      <c r="M350">
        <v>22.599916591236401</v>
      </c>
    </row>
    <row r="351" spans="1:13" x14ac:dyDescent="0.2">
      <c r="A351">
        <v>7</v>
      </c>
      <c r="B351">
        <v>90</v>
      </c>
      <c r="C351">
        <v>1</v>
      </c>
      <c r="D351">
        <v>29.9</v>
      </c>
      <c r="E351">
        <v>0.6</v>
      </c>
      <c r="F351">
        <f t="shared" si="20"/>
        <v>90</v>
      </c>
      <c r="G351" s="1">
        <f t="shared" si="21"/>
        <v>68.8</v>
      </c>
      <c r="H351" s="1">
        <f t="shared" si="22"/>
        <v>8.38701473557939</v>
      </c>
      <c r="I351" s="1">
        <f t="shared" si="23"/>
        <v>7.6224000000000014E-2</v>
      </c>
      <c r="J351">
        <v>6.78</v>
      </c>
      <c r="K351">
        <v>13.794831165597</v>
      </c>
      <c r="L351">
        <v>14.414817575216601</v>
      </c>
      <c r="M351">
        <v>40.767755449395601</v>
      </c>
    </row>
    <row r="352" spans="1:13" x14ac:dyDescent="0.2">
      <c r="A352">
        <v>7</v>
      </c>
      <c r="B352">
        <v>90</v>
      </c>
      <c r="C352">
        <v>1</v>
      </c>
      <c r="D352">
        <v>29.9</v>
      </c>
      <c r="E352">
        <v>0.8</v>
      </c>
      <c r="F352">
        <f t="shared" si="20"/>
        <v>90</v>
      </c>
      <c r="G352" s="1">
        <f t="shared" si="21"/>
        <v>66.400000000000006</v>
      </c>
      <c r="H352" s="1">
        <f t="shared" si="22"/>
        <v>7.9824568164254543</v>
      </c>
      <c r="I352" s="1">
        <f t="shared" si="23"/>
        <v>7.5072000000000014E-2</v>
      </c>
      <c r="J352">
        <v>6.78</v>
      </c>
      <c r="K352">
        <v>11.2553233646309</v>
      </c>
      <c r="L352">
        <v>8.4880846400246792</v>
      </c>
      <c r="M352">
        <v>56.488213178061301</v>
      </c>
    </row>
    <row r="353" spans="1:13" x14ac:dyDescent="0.2">
      <c r="A353">
        <v>7</v>
      </c>
      <c r="B353">
        <v>90</v>
      </c>
      <c r="C353">
        <v>1</v>
      </c>
      <c r="D353">
        <v>29.9</v>
      </c>
      <c r="E353">
        <v>1</v>
      </c>
      <c r="F353">
        <f t="shared" si="20"/>
        <v>90</v>
      </c>
      <c r="G353" s="1">
        <f t="shared" si="21"/>
        <v>64</v>
      </c>
      <c r="H353" s="1">
        <f t="shared" si="22"/>
        <v>7.5965211039203471</v>
      </c>
      <c r="I353" s="1">
        <f t="shared" si="23"/>
        <v>7.3920000000000013E-2</v>
      </c>
      <c r="J353">
        <v>6.78</v>
      </c>
      <c r="K353">
        <v>9.6826055800277704</v>
      </c>
      <c r="L353">
        <v>5.88710545810184</v>
      </c>
      <c r="M353">
        <v>70.064816337954795</v>
      </c>
    </row>
    <row r="354" spans="1:13" x14ac:dyDescent="0.2">
      <c r="A354">
        <v>7</v>
      </c>
      <c r="B354">
        <v>90</v>
      </c>
      <c r="C354">
        <v>0.4</v>
      </c>
      <c r="D354">
        <v>49.9</v>
      </c>
      <c r="E354">
        <v>0.4</v>
      </c>
      <c r="F354">
        <f t="shared" si="20"/>
        <v>90</v>
      </c>
      <c r="G354" s="1">
        <f t="shared" si="21"/>
        <v>79.600000000000009</v>
      </c>
      <c r="H354" s="1">
        <f t="shared" si="22"/>
        <v>10.469387455299206</v>
      </c>
      <c r="I354" s="1">
        <f t="shared" si="23"/>
        <v>0.20352000000000006</v>
      </c>
      <c r="J354">
        <v>6.78</v>
      </c>
      <c r="K354">
        <v>32.410240499042203</v>
      </c>
      <c r="L354">
        <v>98.446081532272899</v>
      </c>
      <c r="M354">
        <v>14.0246935838507</v>
      </c>
    </row>
    <row r="355" spans="1:13" x14ac:dyDescent="0.2">
      <c r="A355">
        <v>7</v>
      </c>
      <c r="B355">
        <v>90</v>
      </c>
      <c r="C355">
        <v>0.4</v>
      </c>
      <c r="D355">
        <v>49.9</v>
      </c>
      <c r="E355">
        <v>0.6</v>
      </c>
      <c r="F355">
        <f t="shared" si="20"/>
        <v>90</v>
      </c>
      <c r="G355" s="1">
        <f t="shared" si="21"/>
        <v>77.2</v>
      </c>
      <c r="H355" s="1">
        <f t="shared" si="22"/>
        <v>9.9661842159569396</v>
      </c>
      <c r="I355" s="1">
        <f t="shared" si="23"/>
        <v>0.20063999999999999</v>
      </c>
      <c r="J355">
        <v>6.78</v>
      </c>
      <c r="K355">
        <v>17.703556812467401</v>
      </c>
      <c r="L355">
        <v>23.586336776343401</v>
      </c>
      <c r="M355">
        <v>31.974929524794099</v>
      </c>
    </row>
    <row r="356" spans="1:13" x14ac:dyDescent="0.2">
      <c r="A356">
        <v>7</v>
      </c>
      <c r="B356">
        <v>90</v>
      </c>
      <c r="C356">
        <v>0.4</v>
      </c>
      <c r="D356">
        <v>49.9</v>
      </c>
      <c r="E356">
        <v>0.8</v>
      </c>
      <c r="F356">
        <f t="shared" si="20"/>
        <v>90</v>
      </c>
      <c r="G356" s="1">
        <f t="shared" si="21"/>
        <v>74.8</v>
      </c>
      <c r="H356" s="1">
        <f t="shared" si="22"/>
        <v>9.4872605302206523</v>
      </c>
      <c r="I356" s="1">
        <f t="shared" si="23"/>
        <v>0.19776000000000002</v>
      </c>
      <c r="J356">
        <v>6.78</v>
      </c>
      <c r="K356">
        <v>13.4386993887484</v>
      </c>
      <c r="L356">
        <v>12.1343814766362</v>
      </c>
      <c r="M356">
        <v>47.179046286854799</v>
      </c>
    </row>
    <row r="357" spans="1:13" x14ac:dyDescent="0.2">
      <c r="A357">
        <v>7</v>
      </c>
      <c r="B357">
        <v>90</v>
      </c>
      <c r="C357">
        <v>0.4</v>
      </c>
      <c r="D357">
        <v>49.9</v>
      </c>
      <c r="E357">
        <v>1</v>
      </c>
      <c r="F357">
        <f t="shared" si="20"/>
        <v>90</v>
      </c>
      <c r="G357" s="1">
        <f t="shared" si="21"/>
        <v>72.400000000000006</v>
      </c>
      <c r="H357" s="1">
        <f t="shared" si="22"/>
        <v>9.0311793394358695</v>
      </c>
      <c r="I357" s="1">
        <f t="shared" si="23"/>
        <v>0.19488000000000003</v>
      </c>
      <c r="J357">
        <v>6.78</v>
      </c>
      <c r="K357">
        <v>11.3814604542544</v>
      </c>
      <c r="L357">
        <v>8.3601439451832391</v>
      </c>
      <c r="M357">
        <v>57.995433734149401</v>
      </c>
    </row>
    <row r="358" spans="1:13" x14ac:dyDescent="0.2">
      <c r="A358">
        <v>7</v>
      </c>
      <c r="B358">
        <v>90</v>
      </c>
      <c r="C358">
        <v>0.6</v>
      </c>
      <c r="D358">
        <v>49.9</v>
      </c>
      <c r="E358">
        <v>0.4</v>
      </c>
      <c r="F358">
        <f t="shared" si="20"/>
        <v>90</v>
      </c>
      <c r="G358" s="1">
        <f t="shared" si="21"/>
        <v>76.8</v>
      </c>
      <c r="H358" s="1">
        <f t="shared" si="22"/>
        <v>9.8847177874460144</v>
      </c>
      <c r="I358" s="1">
        <f t="shared" si="23"/>
        <v>0.13344000000000003</v>
      </c>
      <c r="J358">
        <v>6.78</v>
      </c>
      <c r="K358">
        <v>21.787164754555999</v>
      </c>
      <c r="L358">
        <v>44.289131703003903</v>
      </c>
      <c r="M358">
        <v>20.9562279512907</v>
      </c>
    </row>
    <row r="359" spans="1:13" x14ac:dyDescent="0.2">
      <c r="A359">
        <v>7</v>
      </c>
      <c r="B359">
        <v>90</v>
      </c>
      <c r="C359">
        <v>0.6</v>
      </c>
      <c r="D359">
        <v>49.9</v>
      </c>
      <c r="E359">
        <v>0.6</v>
      </c>
      <c r="F359">
        <f t="shared" si="20"/>
        <v>90</v>
      </c>
      <c r="G359" s="1">
        <f t="shared" si="21"/>
        <v>74.399999999999991</v>
      </c>
      <c r="H359" s="1">
        <f t="shared" si="22"/>
        <v>9.4096978367905351</v>
      </c>
      <c r="I359" s="1">
        <f t="shared" si="23"/>
        <v>0.13152</v>
      </c>
      <c r="J359">
        <v>6.78</v>
      </c>
      <c r="K359">
        <v>15.323744880080399</v>
      </c>
      <c r="L359">
        <v>16.6853105670878</v>
      </c>
      <c r="M359">
        <v>39.123723459372997</v>
      </c>
    </row>
    <row r="360" spans="1:13" x14ac:dyDescent="0.2">
      <c r="A360">
        <v>7</v>
      </c>
      <c r="B360">
        <v>90</v>
      </c>
      <c r="C360">
        <v>0.6</v>
      </c>
      <c r="D360">
        <v>49.9</v>
      </c>
      <c r="E360">
        <v>0.8</v>
      </c>
      <c r="F360">
        <f t="shared" si="20"/>
        <v>90</v>
      </c>
      <c r="G360" s="1">
        <f t="shared" si="21"/>
        <v>72</v>
      </c>
      <c r="H360" s="1">
        <f t="shared" si="22"/>
        <v>8.9572919846547325</v>
      </c>
      <c r="I360" s="1">
        <f t="shared" si="23"/>
        <v>0.12960000000000002</v>
      </c>
      <c r="J360">
        <v>6.78</v>
      </c>
      <c r="K360">
        <v>12.299789936334401</v>
      </c>
      <c r="L360">
        <v>9.9529428805705304</v>
      </c>
      <c r="M360">
        <v>52.644832094676403</v>
      </c>
    </row>
    <row r="361" spans="1:13" x14ac:dyDescent="0.2">
      <c r="A361">
        <v>7</v>
      </c>
      <c r="B361">
        <v>90</v>
      </c>
      <c r="C361">
        <v>0.6</v>
      </c>
      <c r="D361">
        <v>49.9</v>
      </c>
      <c r="E361">
        <v>1</v>
      </c>
      <c r="F361">
        <f t="shared" si="20"/>
        <v>90</v>
      </c>
      <c r="G361" s="1">
        <f t="shared" si="21"/>
        <v>69.599999999999994</v>
      </c>
      <c r="H361" s="1">
        <f t="shared" si="22"/>
        <v>8.5261918628170097</v>
      </c>
      <c r="I361" s="1">
        <f t="shared" si="23"/>
        <v>0.12768000000000002</v>
      </c>
      <c r="J361">
        <v>6.78</v>
      </c>
      <c r="K361">
        <v>10.553857723153</v>
      </c>
      <c r="L361">
        <v>6.8775000110150399</v>
      </c>
      <c r="M361">
        <v>65.371763011201494</v>
      </c>
    </row>
    <row r="362" spans="1:13" x14ac:dyDescent="0.2">
      <c r="A362">
        <v>7</v>
      </c>
      <c r="B362">
        <v>90</v>
      </c>
      <c r="C362">
        <v>0.8</v>
      </c>
      <c r="D362">
        <v>49.9</v>
      </c>
      <c r="E362">
        <v>0.4</v>
      </c>
      <c r="F362">
        <f t="shared" si="20"/>
        <v>90</v>
      </c>
      <c r="G362" s="1">
        <f t="shared" si="21"/>
        <v>74</v>
      </c>
      <c r="H362" s="1">
        <f t="shared" si="22"/>
        <v>9.3327630670261925</v>
      </c>
      <c r="I362" s="1">
        <f t="shared" si="23"/>
        <v>9.8400000000000015E-2</v>
      </c>
      <c r="J362">
        <v>6.78</v>
      </c>
      <c r="K362">
        <v>20.093204548274301</v>
      </c>
      <c r="L362">
        <v>35.198000516762797</v>
      </c>
      <c r="M362">
        <v>24.318723464568301</v>
      </c>
    </row>
    <row r="363" spans="1:13" x14ac:dyDescent="0.2">
      <c r="A363">
        <v>7</v>
      </c>
      <c r="B363">
        <v>90</v>
      </c>
      <c r="C363">
        <v>0.8</v>
      </c>
      <c r="D363">
        <v>49.9</v>
      </c>
      <c r="E363">
        <v>0.6</v>
      </c>
      <c r="F363">
        <f t="shared" si="20"/>
        <v>90</v>
      </c>
      <c r="G363" s="1">
        <f t="shared" si="21"/>
        <v>71.600000000000009</v>
      </c>
      <c r="H363" s="1">
        <f t="shared" si="22"/>
        <v>8.8839962332112261</v>
      </c>
      <c r="I363" s="1">
        <f t="shared" si="23"/>
        <v>9.6960000000000032E-2</v>
      </c>
      <c r="J363">
        <v>6.78</v>
      </c>
      <c r="K363">
        <v>13.896724194917701</v>
      </c>
      <c r="L363">
        <v>13.8798673661975</v>
      </c>
      <c r="M363">
        <v>42.651733249000401</v>
      </c>
    </row>
    <row r="364" spans="1:13" x14ac:dyDescent="0.2">
      <c r="A364">
        <v>7</v>
      </c>
      <c r="B364">
        <v>90</v>
      </c>
      <c r="C364">
        <v>0.8</v>
      </c>
      <c r="D364">
        <v>49.9</v>
      </c>
      <c r="E364">
        <v>0.8</v>
      </c>
      <c r="F364">
        <f t="shared" si="20"/>
        <v>90</v>
      </c>
      <c r="G364" s="1">
        <f t="shared" si="21"/>
        <v>69.2</v>
      </c>
      <c r="H364" s="1">
        <f t="shared" si="22"/>
        <v>8.456326956989404</v>
      </c>
      <c r="I364" s="1">
        <f t="shared" si="23"/>
        <v>9.5519999999999994E-2</v>
      </c>
      <c r="J364">
        <v>6.78</v>
      </c>
      <c r="K364">
        <v>11.264471877184899</v>
      </c>
      <c r="L364">
        <v>8.3531668689950305</v>
      </c>
      <c r="M364">
        <v>57.447249497912203</v>
      </c>
    </row>
    <row r="365" spans="1:13" x14ac:dyDescent="0.2">
      <c r="A365">
        <v>7</v>
      </c>
      <c r="B365">
        <v>90</v>
      </c>
      <c r="C365">
        <v>0.8</v>
      </c>
      <c r="D365">
        <v>49.9</v>
      </c>
      <c r="E365">
        <v>1</v>
      </c>
      <c r="F365">
        <f t="shared" si="20"/>
        <v>90</v>
      </c>
      <c r="G365" s="1">
        <f t="shared" si="21"/>
        <v>66.800000000000011</v>
      </c>
      <c r="H365" s="1">
        <f t="shared" si="22"/>
        <v>8.0485614709743096</v>
      </c>
      <c r="I365" s="1">
        <f t="shared" si="23"/>
        <v>9.4080000000000011E-2</v>
      </c>
      <c r="J365">
        <v>6.78</v>
      </c>
      <c r="K365">
        <v>9.7259601164100893</v>
      </c>
      <c r="L365">
        <v>5.8227669484542997</v>
      </c>
      <c r="M365">
        <v>71.156182180212795</v>
      </c>
    </row>
    <row r="366" spans="1:13" x14ac:dyDescent="0.2">
      <c r="A366">
        <v>7</v>
      </c>
      <c r="B366">
        <v>90</v>
      </c>
      <c r="C366">
        <v>1</v>
      </c>
      <c r="D366">
        <v>49.9</v>
      </c>
      <c r="E366">
        <v>0.4</v>
      </c>
      <c r="F366">
        <f t="shared" si="20"/>
        <v>90</v>
      </c>
      <c r="G366" s="1">
        <f t="shared" si="21"/>
        <v>71.2</v>
      </c>
      <c r="H366" s="1">
        <f t="shared" si="22"/>
        <v>8.8112863061414224</v>
      </c>
      <c r="I366" s="1">
        <f t="shared" si="23"/>
        <v>7.7376E-2</v>
      </c>
      <c r="J366">
        <v>6.78</v>
      </c>
      <c r="K366">
        <v>17.788541412700301</v>
      </c>
      <c r="L366">
        <v>28.197033012207001</v>
      </c>
      <c r="M366">
        <v>26.874877208040999</v>
      </c>
    </row>
    <row r="367" spans="1:13" x14ac:dyDescent="0.2">
      <c r="A367">
        <v>7</v>
      </c>
      <c r="B367">
        <v>90</v>
      </c>
      <c r="C367">
        <v>1</v>
      </c>
      <c r="D367">
        <v>49.9</v>
      </c>
      <c r="E367">
        <v>0.6</v>
      </c>
      <c r="F367">
        <f t="shared" si="20"/>
        <v>90</v>
      </c>
      <c r="G367" s="1">
        <f t="shared" si="21"/>
        <v>68.8</v>
      </c>
      <c r="H367" s="1">
        <f t="shared" si="22"/>
        <v>8.38701473557939</v>
      </c>
      <c r="I367" s="1">
        <f t="shared" si="23"/>
        <v>7.6224000000000014E-2</v>
      </c>
      <c r="J367">
        <v>6.78</v>
      </c>
      <c r="K367">
        <v>12.555397588203</v>
      </c>
      <c r="L367">
        <v>11.7601111461603</v>
      </c>
      <c r="M367">
        <v>45.480853470943501</v>
      </c>
    </row>
    <row r="368" spans="1:13" x14ac:dyDescent="0.2">
      <c r="A368">
        <v>7</v>
      </c>
      <c r="B368">
        <v>90</v>
      </c>
      <c r="C368">
        <v>1</v>
      </c>
      <c r="D368">
        <v>49.9</v>
      </c>
      <c r="E368">
        <v>0.8</v>
      </c>
      <c r="F368">
        <f t="shared" si="20"/>
        <v>90</v>
      </c>
      <c r="G368" s="1">
        <f t="shared" si="21"/>
        <v>66.400000000000006</v>
      </c>
      <c r="H368" s="1">
        <f t="shared" si="22"/>
        <v>7.9824568164254543</v>
      </c>
      <c r="I368" s="1">
        <f t="shared" si="23"/>
        <v>7.5072000000000014E-2</v>
      </c>
      <c r="J368">
        <v>6.78</v>
      </c>
      <c r="K368">
        <v>10.2700429525696</v>
      </c>
      <c r="L368">
        <v>6.9843529329263099</v>
      </c>
      <c r="M368">
        <v>62.640561957699397</v>
      </c>
    </row>
    <row r="369" spans="1:13" x14ac:dyDescent="0.2">
      <c r="A369">
        <v>7</v>
      </c>
      <c r="B369">
        <v>90</v>
      </c>
      <c r="C369">
        <v>1</v>
      </c>
      <c r="D369">
        <v>49.9</v>
      </c>
      <c r="E369">
        <v>1</v>
      </c>
      <c r="F369">
        <f t="shared" si="20"/>
        <v>90</v>
      </c>
      <c r="G369" s="1">
        <f t="shared" si="21"/>
        <v>64</v>
      </c>
      <c r="H369" s="1">
        <f t="shared" si="22"/>
        <v>7.5965211039203471</v>
      </c>
      <c r="I369" s="1">
        <f t="shared" si="23"/>
        <v>7.3920000000000013E-2</v>
      </c>
      <c r="J369">
        <v>6.78</v>
      </c>
      <c r="K369">
        <v>8.9135187488245808</v>
      </c>
      <c r="L369">
        <v>4.9293665456281701</v>
      </c>
      <c r="M369">
        <v>77.031371666532706</v>
      </c>
    </row>
    <row r="370" spans="1:13" x14ac:dyDescent="0.2">
      <c r="A370">
        <v>7</v>
      </c>
      <c r="B370">
        <v>90</v>
      </c>
      <c r="C370">
        <v>0.4</v>
      </c>
      <c r="D370">
        <v>69.900000000000006</v>
      </c>
      <c r="E370">
        <v>0.4</v>
      </c>
      <c r="F370">
        <f t="shared" si="20"/>
        <v>90</v>
      </c>
      <c r="G370" s="1">
        <f t="shared" si="21"/>
        <v>79.600000000000009</v>
      </c>
      <c r="H370" s="1">
        <f t="shared" si="22"/>
        <v>10.469387455299206</v>
      </c>
      <c r="I370" s="1">
        <f t="shared" si="23"/>
        <v>0.20352000000000006</v>
      </c>
      <c r="J370">
        <v>6.78</v>
      </c>
      <c r="K370">
        <v>30.7312225079665</v>
      </c>
      <c r="L370">
        <v>84.984200847475293</v>
      </c>
      <c r="M370">
        <v>15.404627620423501</v>
      </c>
    </row>
    <row r="371" spans="1:13" x14ac:dyDescent="0.2">
      <c r="A371">
        <v>7</v>
      </c>
      <c r="B371">
        <v>90</v>
      </c>
      <c r="C371">
        <v>0.4</v>
      </c>
      <c r="D371">
        <v>69.900000000000006</v>
      </c>
      <c r="E371">
        <v>0.6</v>
      </c>
      <c r="F371">
        <f t="shared" si="20"/>
        <v>90</v>
      </c>
      <c r="G371" s="1">
        <f t="shared" si="21"/>
        <v>77.2</v>
      </c>
      <c r="H371" s="1">
        <f t="shared" si="22"/>
        <v>9.9661842159569396</v>
      </c>
      <c r="I371" s="1">
        <f t="shared" si="23"/>
        <v>0.20063999999999999</v>
      </c>
      <c r="J371">
        <v>6.78</v>
      </c>
      <c r="K371">
        <v>16.281144392901499</v>
      </c>
      <c r="L371">
        <v>31.428126003916301</v>
      </c>
      <c r="M371">
        <v>22.0686620690342</v>
      </c>
    </row>
    <row r="372" spans="1:13" x14ac:dyDescent="0.2">
      <c r="A372">
        <v>7</v>
      </c>
      <c r="B372">
        <v>90</v>
      </c>
      <c r="C372">
        <v>0.4</v>
      </c>
      <c r="D372">
        <v>69.900000000000006</v>
      </c>
      <c r="E372">
        <v>0.8</v>
      </c>
      <c r="F372">
        <f t="shared" si="20"/>
        <v>90</v>
      </c>
      <c r="G372" s="1">
        <f t="shared" si="21"/>
        <v>74.8</v>
      </c>
      <c r="H372" s="1">
        <f t="shared" si="22"/>
        <v>9.4872605302206523</v>
      </c>
      <c r="I372" s="1">
        <f t="shared" si="23"/>
        <v>0.19776000000000002</v>
      </c>
      <c r="J372">
        <v>6.78</v>
      </c>
      <c r="K372">
        <v>13.1512656397085</v>
      </c>
      <c r="L372">
        <v>12.9068606048953</v>
      </c>
      <c r="M372">
        <v>43.406672298507999</v>
      </c>
    </row>
    <row r="373" spans="1:13" x14ac:dyDescent="0.2">
      <c r="A373">
        <v>7</v>
      </c>
      <c r="B373">
        <v>90</v>
      </c>
      <c r="C373">
        <v>0.4</v>
      </c>
      <c r="D373">
        <v>69.900000000000006</v>
      </c>
      <c r="E373">
        <v>1</v>
      </c>
      <c r="F373">
        <f t="shared" si="20"/>
        <v>90</v>
      </c>
      <c r="G373" s="1">
        <f t="shared" si="21"/>
        <v>72.400000000000006</v>
      </c>
      <c r="H373" s="1">
        <f t="shared" si="22"/>
        <v>9.0311793394358695</v>
      </c>
      <c r="I373" s="1">
        <f t="shared" si="23"/>
        <v>0.19488000000000003</v>
      </c>
      <c r="J373">
        <v>6.78</v>
      </c>
      <c r="K373">
        <v>10.909099629208299</v>
      </c>
      <c r="L373">
        <v>8.1121657955608395</v>
      </c>
      <c r="M373">
        <v>57.287735045658501</v>
      </c>
    </row>
    <row r="374" spans="1:13" x14ac:dyDescent="0.2">
      <c r="A374">
        <v>7</v>
      </c>
      <c r="B374">
        <v>90</v>
      </c>
      <c r="C374">
        <v>0.6</v>
      </c>
      <c r="D374">
        <v>69.900000000000006</v>
      </c>
      <c r="E374">
        <v>0.4</v>
      </c>
      <c r="F374">
        <f t="shared" si="20"/>
        <v>90</v>
      </c>
      <c r="G374" s="1">
        <f t="shared" si="21"/>
        <v>76.8</v>
      </c>
      <c r="H374" s="1">
        <f t="shared" si="22"/>
        <v>9.8847177874460144</v>
      </c>
      <c r="I374" s="1">
        <f t="shared" si="23"/>
        <v>0.13344000000000003</v>
      </c>
      <c r="J374">
        <v>6.78</v>
      </c>
      <c r="K374">
        <v>18.2961990273479</v>
      </c>
      <c r="L374">
        <v>41.895103940429998</v>
      </c>
      <c r="M374">
        <v>18.6040357720562</v>
      </c>
    </row>
    <row r="375" spans="1:13" x14ac:dyDescent="0.2">
      <c r="A375">
        <v>7</v>
      </c>
      <c r="B375">
        <v>90</v>
      </c>
      <c r="C375">
        <v>0.6</v>
      </c>
      <c r="D375">
        <v>69.900000000000006</v>
      </c>
      <c r="E375">
        <v>0.6</v>
      </c>
      <c r="F375">
        <f t="shared" si="20"/>
        <v>90</v>
      </c>
      <c r="G375" s="1">
        <f t="shared" si="21"/>
        <v>74.399999999999991</v>
      </c>
      <c r="H375" s="1">
        <f t="shared" si="22"/>
        <v>9.4096978367905351</v>
      </c>
      <c r="I375" s="1">
        <f t="shared" si="23"/>
        <v>0.13152</v>
      </c>
      <c r="J375">
        <v>6.78</v>
      </c>
      <c r="K375">
        <v>16.690714378762301</v>
      </c>
      <c r="L375">
        <v>23.153572551959499</v>
      </c>
      <c r="M375">
        <v>30.7090566936896</v>
      </c>
    </row>
    <row r="376" spans="1:13" x14ac:dyDescent="0.2">
      <c r="A376">
        <v>7</v>
      </c>
      <c r="B376">
        <v>90</v>
      </c>
      <c r="C376">
        <v>0.6</v>
      </c>
      <c r="D376">
        <v>69.900000000000006</v>
      </c>
      <c r="E376">
        <v>0.8</v>
      </c>
      <c r="F376">
        <f t="shared" si="20"/>
        <v>90</v>
      </c>
      <c r="G376" s="1">
        <f t="shared" si="21"/>
        <v>72</v>
      </c>
      <c r="H376" s="1">
        <f t="shared" si="22"/>
        <v>8.9572919846547325</v>
      </c>
      <c r="I376" s="1">
        <f t="shared" si="23"/>
        <v>0.12960000000000002</v>
      </c>
      <c r="J376">
        <v>6.78</v>
      </c>
      <c r="K376">
        <v>12.145653286495101</v>
      </c>
      <c r="L376">
        <v>10.4774537761523</v>
      </c>
      <c r="M376">
        <v>49.382683724896097</v>
      </c>
    </row>
    <row r="377" spans="1:13" x14ac:dyDescent="0.2">
      <c r="A377">
        <v>7</v>
      </c>
      <c r="B377">
        <v>90</v>
      </c>
      <c r="C377">
        <v>0.6</v>
      </c>
      <c r="D377">
        <v>69.900000000000006</v>
      </c>
      <c r="E377">
        <v>1</v>
      </c>
      <c r="F377">
        <f t="shared" si="20"/>
        <v>90</v>
      </c>
      <c r="G377" s="1">
        <f t="shared" si="21"/>
        <v>69.599999999999994</v>
      </c>
      <c r="H377" s="1">
        <f t="shared" si="22"/>
        <v>8.5261918628170097</v>
      </c>
      <c r="I377" s="1">
        <f t="shared" si="23"/>
        <v>0.12768000000000002</v>
      </c>
      <c r="J377">
        <v>6.78</v>
      </c>
      <c r="K377">
        <v>9.9297375708697206</v>
      </c>
      <c r="L377">
        <v>6.3243292279635002</v>
      </c>
      <c r="M377">
        <v>66.885636302682002</v>
      </c>
    </row>
    <row r="378" spans="1:13" x14ac:dyDescent="0.2">
      <c r="A378">
        <v>7</v>
      </c>
      <c r="B378">
        <v>90</v>
      </c>
      <c r="C378">
        <v>0.8</v>
      </c>
      <c r="D378">
        <v>69.900000000000006</v>
      </c>
      <c r="E378">
        <v>0.4</v>
      </c>
      <c r="F378">
        <f t="shared" si="20"/>
        <v>90</v>
      </c>
      <c r="G378" s="1">
        <f t="shared" si="21"/>
        <v>74</v>
      </c>
      <c r="H378" s="1">
        <f t="shared" si="22"/>
        <v>9.3327630670261925</v>
      </c>
      <c r="I378" s="1">
        <f t="shared" si="23"/>
        <v>9.8400000000000015E-2</v>
      </c>
      <c r="J378">
        <v>6.78</v>
      </c>
      <c r="K378">
        <v>18.240972897011599</v>
      </c>
      <c r="L378">
        <v>29.473191541759199</v>
      </c>
      <c r="M378">
        <v>26.365158938699501</v>
      </c>
    </row>
    <row r="379" spans="1:13" x14ac:dyDescent="0.2">
      <c r="A379">
        <v>7</v>
      </c>
      <c r="B379">
        <v>90</v>
      </c>
      <c r="C379">
        <v>0.8</v>
      </c>
      <c r="D379">
        <v>69.900000000000006</v>
      </c>
      <c r="E379">
        <v>0.6</v>
      </c>
      <c r="F379">
        <f t="shared" si="20"/>
        <v>90</v>
      </c>
      <c r="G379" s="1">
        <f t="shared" si="21"/>
        <v>71.600000000000009</v>
      </c>
      <c r="H379" s="1">
        <f t="shared" si="22"/>
        <v>8.8839962332112261</v>
      </c>
      <c r="I379" s="1">
        <f t="shared" si="23"/>
        <v>9.6960000000000032E-2</v>
      </c>
      <c r="J379">
        <v>6.78</v>
      </c>
      <c r="K379">
        <v>12.984302447784</v>
      </c>
      <c r="L379">
        <v>12.5692898787537</v>
      </c>
      <c r="M379">
        <v>44.006562235641198</v>
      </c>
    </row>
    <row r="380" spans="1:13" x14ac:dyDescent="0.2">
      <c r="A380">
        <v>7</v>
      </c>
      <c r="B380">
        <v>90</v>
      </c>
      <c r="C380">
        <v>0.8</v>
      </c>
      <c r="D380">
        <v>69.900000000000006</v>
      </c>
      <c r="E380">
        <v>0.8</v>
      </c>
      <c r="F380">
        <f t="shared" si="20"/>
        <v>90</v>
      </c>
      <c r="G380" s="1">
        <f t="shared" si="21"/>
        <v>69.2</v>
      </c>
      <c r="H380" s="1">
        <f t="shared" si="22"/>
        <v>8.456326956989404</v>
      </c>
      <c r="I380" s="1">
        <f t="shared" si="23"/>
        <v>9.5519999999999994E-2</v>
      </c>
      <c r="J380">
        <v>6.78</v>
      </c>
      <c r="K380">
        <v>10.4066176467581</v>
      </c>
      <c r="L380">
        <v>7.1829711447835196</v>
      </c>
      <c r="M380">
        <v>61.718453989580198</v>
      </c>
    </row>
    <row r="381" spans="1:13" x14ac:dyDescent="0.2">
      <c r="A381">
        <v>7</v>
      </c>
      <c r="B381">
        <v>90</v>
      </c>
      <c r="C381">
        <v>0.8</v>
      </c>
      <c r="D381">
        <v>69.900000000000006</v>
      </c>
      <c r="E381">
        <v>1</v>
      </c>
      <c r="F381">
        <f t="shared" si="20"/>
        <v>90</v>
      </c>
      <c r="G381" s="1">
        <f t="shared" si="21"/>
        <v>66.800000000000011</v>
      </c>
      <c r="H381" s="1">
        <f t="shared" si="22"/>
        <v>8.0485614709743096</v>
      </c>
      <c r="I381" s="1">
        <f t="shared" si="23"/>
        <v>9.4080000000000011E-2</v>
      </c>
      <c r="J381">
        <v>6.78</v>
      </c>
      <c r="K381">
        <v>8.9859181391590592</v>
      </c>
      <c r="L381">
        <v>5.1429894773258704</v>
      </c>
      <c r="M381">
        <v>74.431433684801704</v>
      </c>
    </row>
    <row r="382" spans="1:13" x14ac:dyDescent="0.2">
      <c r="A382">
        <v>7</v>
      </c>
      <c r="B382">
        <v>90</v>
      </c>
      <c r="C382">
        <v>1</v>
      </c>
      <c r="D382">
        <v>69.900000000000006</v>
      </c>
      <c r="E382">
        <v>0.4</v>
      </c>
      <c r="F382">
        <f t="shared" si="20"/>
        <v>90</v>
      </c>
      <c r="G382" s="1">
        <f t="shared" si="21"/>
        <v>71.2</v>
      </c>
      <c r="H382" s="1">
        <f t="shared" si="22"/>
        <v>8.8112863061414224</v>
      </c>
      <c r="I382" s="1">
        <f t="shared" si="23"/>
        <v>7.7376E-2</v>
      </c>
      <c r="J382">
        <v>6.78</v>
      </c>
      <c r="K382">
        <v>15.6872787577878</v>
      </c>
      <c r="L382">
        <v>22.023722057021899</v>
      </c>
      <c r="M382">
        <v>30.343554854423299</v>
      </c>
    </row>
    <row r="383" spans="1:13" x14ac:dyDescent="0.2">
      <c r="A383">
        <v>7</v>
      </c>
      <c r="B383">
        <v>90</v>
      </c>
      <c r="C383">
        <v>1</v>
      </c>
      <c r="D383">
        <v>69.900000000000006</v>
      </c>
      <c r="E383">
        <v>0.6</v>
      </c>
      <c r="F383">
        <f t="shared" si="20"/>
        <v>90</v>
      </c>
      <c r="G383" s="1">
        <f t="shared" si="21"/>
        <v>68.8</v>
      </c>
      <c r="H383" s="1">
        <f t="shared" si="22"/>
        <v>8.38701473557939</v>
      </c>
      <c r="I383" s="1">
        <f t="shared" si="23"/>
        <v>7.6224000000000014E-2</v>
      </c>
      <c r="J383">
        <v>6.78</v>
      </c>
      <c r="K383">
        <v>11.618088601339799</v>
      </c>
      <c r="L383">
        <v>10.122902261743</v>
      </c>
      <c r="M383">
        <v>48.892157564453797</v>
      </c>
    </row>
    <row r="384" spans="1:13" x14ac:dyDescent="0.2">
      <c r="A384">
        <v>7</v>
      </c>
      <c r="B384">
        <v>90</v>
      </c>
      <c r="C384">
        <v>1</v>
      </c>
      <c r="D384">
        <v>69.900000000000006</v>
      </c>
      <c r="E384">
        <v>0.8</v>
      </c>
      <c r="F384">
        <f t="shared" si="20"/>
        <v>90</v>
      </c>
      <c r="G384" s="1">
        <f t="shared" si="21"/>
        <v>66.400000000000006</v>
      </c>
      <c r="H384" s="1">
        <f t="shared" si="22"/>
        <v>7.9824568164254543</v>
      </c>
      <c r="I384" s="1">
        <f t="shared" si="23"/>
        <v>7.5072000000000014E-2</v>
      </c>
      <c r="J384">
        <v>6.78</v>
      </c>
      <c r="K384">
        <v>9.4805908926878502</v>
      </c>
      <c r="L384">
        <v>6.0856702341676199</v>
      </c>
      <c r="M384">
        <v>66.364610994961197</v>
      </c>
    </row>
    <row r="385" spans="1:13" x14ac:dyDescent="0.2">
      <c r="A385">
        <v>7</v>
      </c>
      <c r="B385">
        <v>90</v>
      </c>
      <c r="C385">
        <v>1</v>
      </c>
      <c r="D385">
        <v>69.900000000000006</v>
      </c>
      <c r="E385">
        <v>1</v>
      </c>
      <c r="F385">
        <f t="shared" si="20"/>
        <v>90</v>
      </c>
      <c r="G385" s="1">
        <f t="shared" si="21"/>
        <v>64</v>
      </c>
      <c r="H385" s="1">
        <f t="shared" si="22"/>
        <v>7.5965211039203471</v>
      </c>
      <c r="I385" s="1">
        <f t="shared" si="23"/>
        <v>7.3920000000000013E-2</v>
      </c>
      <c r="J385">
        <v>6.78</v>
      </c>
      <c r="K385">
        <v>8.2595042528828593</v>
      </c>
      <c r="L385">
        <v>4.2802222118463096</v>
      </c>
      <c r="M385">
        <v>82.204809442298696</v>
      </c>
    </row>
    <row r="386" spans="1:13" x14ac:dyDescent="0.2">
      <c r="A386">
        <v>7</v>
      </c>
      <c r="B386">
        <v>90</v>
      </c>
      <c r="C386">
        <v>0.4</v>
      </c>
      <c r="D386">
        <v>89.9</v>
      </c>
      <c r="E386">
        <v>0.4</v>
      </c>
      <c r="F386">
        <f t="shared" si="20"/>
        <v>90</v>
      </c>
      <c r="G386" s="1">
        <f t="shared" si="21"/>
        <v>79.600000000000009</v>
      </c>
      <c r="H386" s="1">
        <f t="shared" si="22"/>
        <v>10.469387455299206</v>
      </c>
      <c r="I386" s="1">
        <f t="shared" si="23"/>
        <v>0.20352000000000006</v>
      </c>
      <c r="J386">
        <v>6.78</v>
      </c>
      <c r="K386">
        <v>22.0999983971939</v>
      </c>
      <c r="L386">
        <v>44.1798227147424</v>
      </c>
      <c r="M386">
        <v>21.309724528692598</v>
      </c>
    </row>
    <row r="387" spans="1:13" x14ac:dyDescent="0.2">
      <c r="A387">
        <v>7</v>
      </c>
      <c r="B387">
        <v>90</v>
      </c>
      <c r="C387">
        <v>0.4</v>
      </c>
      <c r="D387">
        <v>89.9</v>
      </c>
      <c r="E387">
        <v>0.6</v>
      </c>
      <c r="F387">
        <f t="shared" ref="F387:F401" si="24">B387</f>
        <v>90</v>
      </c>
      <c r="G387" s="1">
        <f t="shared" ref="G387:G401" si="25">F387-(A387-1)*2*(C387+E387)-2*C387</f>
        <v>77.2</v>
      </c>
      <c r="H387" s="1">
        <f t="shared" ref="H387:H401" si="26">2.34*0.000001257*(0.5*A387^2*(F387+G387))/(1+2.73*(F387-G387)/(F387+G387))*1000</f>
        <v>9.9661842159569396</v>
      </c>
      <c r="I387" s="1">
        <f t="shared" ref="I387:I401" si="27">0.0000000168*4*0.5*(F387+G387)/(0.00007*C387)</f>
        <v>0.20063999999999999</v>
      </c>
      <c r="J387">
        <v>6.78</v>
      </c>
      <c r="K387">
        <v>17.379157621557599</v>
      </c>
      <c r="L387">
        <v>29.296355889121401</v>
      </c>
      <c r="M387">
        <v>25.271131147312801</v>
      </c>
    </row>
    <row r="388" spans="1:13" x14ac:dyDescent="0.2">
      <c r="A388">
        <v>7</v>
      </c>
      <c r="B388">
        <v>90</v>
      </c>
      <c r="C388">
        <v>0.4</v>
      </c>
      <c r="D388">
        <v>89.9</v>
      </c>
      <c r="E388">
        <v>0.8</v>
      </c>
      <c r="F388">
        <f t="shared" si="24"/>
        <v>90</v>
      </c>
      <c r="G388" s="1">
        <f t="shared" si="25"/>
        <v>74.8</v>
      </c>
      <c r="H388" s="1">
        <f t="shared" si="26"/>
        <v>9.4872605302206523</v>
      </c>
      <c r="I388" s="1">
        <f t="shared" si="27"/>
        <v>0.19776000000000002</v>
      </c>
      <c r="J388">
        <v>6.78</v>
      </c>
      <c r="K388">
        <v>17.4250432565306</v>
      </c>
      <c r="L388">
        <v>33.364445525432103</v>
      </c>
      <c r="M388">
        <v>22.248437461080499</v>
      </c>
    </row>
    <row r="389" spans="1:13" x14ac:dyDescent="0.2">
      <c r="A389">
        <v>7</v>
      </c>
      <c r="B389">
        <v>90</v>
      </c>
      <c r="C389">
        <v>0.4</v>
      </c>
      <c r="D389">
        <v>89.9</v>
      </c>
      <c r="E389">
        <v>1</v>
      </c>
      <c r="F389">
        <f t="shared" si="24"/>
        <v>90</v>
      </c>
      <c r="G389" s="1">
        <f t="shared" si="25"/>
        <v>72.400000000000006</v>
      </c>
      <c r="H389" s="1">
        <f t="shared" si="26"/>
        <v>9.0311793394358695</v>
      </c>
      <c r="I389" s="1">
        <f t="shared" si="27"/>
        <v>0.19488000000000003</v>
      </c>
      <c r="J389">
        <v>6.78</v>
      </c>
      <c r="K389">
        <v>10.771003776194201</v>
      </c>
      <c r="L389">
        <v>12.8748865550441</v>
      </c>
      <c r="M389">
        <v>35.638739024377102</v>
      </c>
    </row>
    <row r="390" spans="1:13" x14ac:dyDescent="0.2">
      <c r="A390">
        <v>7</v>
      </c>
      <c r="B390">
        <v>90</v>
      </c>
      <c r="C390">
        <v>0.6</v>
      </c>
      <c r="D390">
        <v>89.9</v>
      </c>
      <c r="E390">
        <v>0.4</v>
      </c>
      <c r="F390">
        <f t="shared" si="24"/>
        <v>90</v>
      </c>
      <c r="G390" s="1">
        <f t="shared" si="25"/>
        <v>76.8</v>
      </c>
      <c r="H390" s="1">
        <f t="shared" si="26"/>
        <v>9.8847177874460144</v>
      </c>
      <c r="I390" s="1">
        <f t="shared" si="27"/>
        <v>0.13344000000000003</v>
      </c>
      <c r="J390">
        <v>6.78</v>
      </c>
      <c r="K390">
        <v>14.5818489589864</v>
      </c>
      <c r="L390">
        <v>17.598542291172102</v>
      </c>
      <c r="M390">
        <v>35.297623100134402</v>
      </c>
    </row>
    <row r="391" spans="1:13" x14ac:dyDescent="0.2">
      <c r="A391">
        <v>7</v>
      </c>
      <c r="B391">
        <v>90</v>
      </c>
      <c r="C391">
        <v>0.6</v>
      </c>
      <c r="D391">
        <v>89.9</v>
      </c>
      <c r="E391">
        <v>0.6</v>
      </c>
      <c r="F391">
        <f t="shared" si="24"/>
        <v>90</v>
      </c>
      <c r="G391" s="1">
        <f t="shared" si="25"/>
        <v>74.399999999999991</v>
      </c>
      <c r="H391" s="1">
        <f t="shared" si="26"/>
        <v>9.4096978367905351</v>
      </c>
      <c r="I391" s="1">
        <f t="shared" si="27"/>
        <v>0.13152</v>
      </c>
      <c r="J391">
        <v>6.78</v>
      </c>
      <c r="K391">
        <v>12.267649880108801</v>
      </c>
      <c r="L391">
        <v>11.1422279177419</v>
      </c>
      <c r="M391">
        <v>46.9028137258302</v>
      </c>
    </row>
    <row r="392" spans="1:13" x14ac:dyDescent="0.2">
      <c r="A392">
        <v>7</v>
      </c>
      <c r="B392">
        <v>90</v>
      </c>
      <c r="C392">
        <v>0.6</v>
      </c>
      <c r="D392">
        <v>89.9</v>
      </c>
      <c r="E392">
        <v>0.8</v>
      </c>
      <c r="F392">
        <f t="shared" si="24"/>
        <v>90</v>
      </c>
      <c r="G392" s="1">
        <f t="shared" si="25"/>
        <v>72</v>
      </c>
      <c r="H392" s="1">
        <f t="shared" si="26"/>
        <v>8.9572919846547325</v>
      </c>
      <c r="I392" s="1">
        <f t="shared" si="27"/>
        <v>0.12960000000000002</v>
      </c>
      <c r="J392">
        <v>6.78</v>
      </c>
      <c r="K392">
        <v>12.508365885259201</v>
      </c>
      <c r="L392">
        <v>13.158030004490699</v>
      </c>
      <c r="M392">
        <v>40.496665631814899</v>
      </c>
    </row>
    <row r="393" spans="1:13" x14ac:dyDescent="0.2">
      <c r="A393">
        <v>7</v>
      </c>
      <c r="B393">
        <v>90</v>
      </c>
      <c r="C393">
        <v>0.6</v>
      </c>
      <c r="D393">
        <v>89.9</v>
      </c>
      <c r="E393">
        <v>1</v>
      </c>
      <c r="F393">
        <f t="shared" si="24"/>
        <v>90</v>
      </c>
      <c r="G393" s="1">
        <f t="shared" si="25"/>
        <v>69.599999999999994</v>
      </c>
      <c r="H393" s="1">
        <f t="shared" si="26"/>
        <v>8.5261918628170097</v>
      </c>
      <c r="I393" s="1">
        <f t="shared" si="27"/>
        <v>0.12768000000000002</v>
      </c>
      <c r="J393">
        <v>6.78</v>
      </c>
      <c r="K393">
        <v>9.6697537289637108</v>
      </c>
      <c r="L393">
        <v>6.6775020138964498</v>
      </c>
      <c r="M393">
        <v>61.689457078106898</v>
      </c>
    </row>
    <row r="394" spans="1:13" x14ac:dyDescent="0.2">
      <c r="A394">
        <v>7</v>
      </c>
      <c r="B394">
        <v>90</v>
      </c>
      <c r="C394">
        <v>0.8</v>
      </c>
      <c r="D394">
        <v>89.9</v>
      </c>
      <c r="E394">
        <v>0.4</v>
      </c>
      <c r="F394">
        <f t="shared" si="24"/>
        <v>90</v>
      </c>
      <c r="G394" s="1">
        <f t="shared" si="25"/>
        <v>74</v>
      </c>
      <c r="H394" s="1">
        <f t="shared" si="26"/>
        <v>9.3327630670261925</v>
      </c>
      <c r="I394" s="1">
        <f t="shared" si="27"/>
        <v>9.8400000000000015E-2</v>
      </c>
      <c r="J394">
        <v>6.78</v>
      </c>
      <c r="K394">
        <v>17.297284219724599</v>
      </c>
      <c r="L394">
        <v>29.2533445030538</v>
      </c>
      <c r="M394">
        <v>25.189059839414</v>
      </c>
    </row>
    <row r="395" spans="1:13" x14ac:dyDescent="0.2">
      <c r="A395">
        <v>7</v>
      </c>
      <c r="B395">
        <v>90</v>
      </c>
      <c r="C395">
        <v>0.8</v>
      </c>
      <c r="D395">
        <v>89.9</v>
      </c>
      <c r="E395">
        <v>0.6</v>
      </c>
      <c r="F395">
        <f t="shared" si="24"/>
        <v>90</v>
      </c>
      <c r="G395" s="1">
        <f t="shared" si="25"/>
        <v>71.600000000000009</v>
      </c>
      <c r="H395" s="1">
        <f t="shared" si="26"/>
        <v>8.8839962332112261</v>
      </c>
      <c r="I395" s="1">
        <f t="shared" si="27"/>
        <v>9.6960000000000032E-2</v>
      </c>
      <c r="J395">
        <v>6.78</v>
      </c>
      <c r="K395">
        <v>2.2242147360017799</v>
      </c>
      <c r="L395">
        <v>3.8099020839470601</v>
      </c>
      <c r="M395">
        <v>24.869809674953999</v>
      </c>
    </row>
    <row r="396" spans="1:13" x14ac:dyDescent="0.2">
      <c r="A396">
        <v>7</v>
      </c>
      <c r="B396">
        <v>90</v>
      </c>
      <c r="C396">
        <v>0.8</v>
      </c>
      <c r="D396">
        <v>89.9</v>
      </c>
      <c r="E396">
        <v>0.8</v>
      </c>
      <c r="F396">
        <f t="shared" si="24"/>
        <v>90</v>
      </c>
      <c r="G396" s="1">
        <f t="shared" si="25"/>
        <v>69.2</v>
      </c>
      <c r="H396" s="1">
        <f t="shared" si="26"/>
        <v>8.456326956989404</v>
      </c>
      <c r="I396" s="1">
        <f t="shared" si="27"/>
        <v>9.5519999999999994E-2</v>
      </c>
      <c r="J396">
        <v>6.78</v>
      </c>
      <c r="K396">
        <v>8.8298232222007709</v>
      </c>
      <c r="L396">
        <v>9.1387779589334404</v>
      </c>
      <c r="M396">
        <v>41.159817977384698</v>
      </c>
    </row>
    <row r="397" spans="1:13" x14ac:dyDescent="0.2">
      <c r="A397">
        <v>7</v>
      </c>
      <c r="B397">
        <v>90</v>
      </c>
      <c r="C397">
        <v>0.8</v>
      </c>
      <c r="D397">
        <v>89.9</v>
      </c>
      <c r="E397">
        <v>1</v>
      </c>
      <c r="F397">
        <f t="shared" si="24"/>
        <v>90</v>
      </c>
      <c r="G397" s="1">
        <f t="shared" si="25"/>
        <v>66.800000000000011</v>
      </c>
      <c r="H397" s="1">
        <f t="shared" si="26"/>
        <v>8.0485614709743096</v>
      </c>
      <c r="I397" s="1">
        <f t="shared" si="27"/>
        <v>9.4080000000000011E-2</v>
      </c>
      <c r="J397">
        <v>6.78</v>
      </c>
      <c r="K397">
        <v>8.5623720543825197</v>
      </c>
      <c r="L397">
        <v>5.0927304311027797</v>
      </c>
      <c r="M397">
        <v>71.623075966510697</v>
      </c>
    </row>
    <row r="398" spans="1:13" x14ac:dyDescent="0.2">
      <c r="A398">
        <v>7</v>
      </c>
      <c r="B398">
        <v>90</v>
      </c>
      <c r="C398">
        <v>1</v>
      </c>
      <c r="D398">
        <v>89.9</v>
      </c>
      <c r="E398">
        <v>0.4</v>
      </c>
      <c r="F398">
        <f t="shared" si="24"/>
        <v>90</v>
      </c>
      <c r="G398" s="1">
        <f t="shared" si="25"/>
        <v>71.2</v>
      </c>
      <c r="H398" s="1">
        <f t="shared" si="26"/>
        <v>8.8112863061414224</v>
      </c>
      <c r="I398" s="1">
        <f t="shared" si="27"/>
        <v>7.7376E-2</v>
      </c>
      <c r="J398">
        <v>6.78</v>
      </c>
      <c r="K398">
        <v>10.7620702186745</v>
      </c>
      <c r="L398">
        <v>15.8448734277932</v>
      </c>
      <c r="M398">
        <v>28.934541792014201</v>
      </c>
    </row>
    <row r="399" spans="1:13" x14ac:dyDescent="0.2">
      <c r="A399">
        <v>7</v>
      </c>
      <c r="B399">
        <v>90</v>
      </c>
      <c r="C399">
        <v>1</v>
      </c>
      <c r="D399">
        <v>89.9</v>
      </c>
      <c r="E399">
        <v>0.6</v>
      </c>
      <c r="F399">
        <f t="shared" si="24"/>
        <v>90</v>
      </c>
      <c r="G399" s="1">
        <f t="shared" si="25"/>
        <v>68.8</v>
      </c>
      <c r="H399" s="1">
        <f t="shared" si="26"/>
        <v>8.38701473557939</v>
      </c>
      <c r="I399" s="1">
        <f t="shared" si="27"/>
        <v>7.6224000000000014E-2</v>
      </c>
      <c r="J399">
        <v>6.78</v>
      </c>
      <c r="K399">
        <v>10.8250348501163</v>
      </c>
      <c r="L399">
        <v>9.4863618937076204</v>
      </c>
      <c r="M399">
        <v>48.611517315525802</v>
      </c>
    </row>
    <row r="400" spans="1:13" x14ac:dyDescent="0.2">
      <c r="A400">
        <v>7</v>
      </c>
      <c r="B400">
        <v>90</v>
      </c>
      <c r="C400">
        <v>1</v>
      </c>
      <c r="D400">
        <v>89.9</v>
      </c>
      <c r="E400">
        <v>0.8</v>
      </c>
      <c r="F400">
        <f t="shared" si="24"/>
        <v>90</v>
      </c>
      <c r="G400" s="1">
        <f t="shared" si="25"/>
        <v>66.400000000000006</v>
      </c>
      <c r="H400" s="1">
        <f t="shared" si="26"/>
        <v>7.9824568164254543</v>
      </c>
      <c r="I400" s="1">
        <f t="shared" si="27"/>
        <v>7.5072000000000014E-2</v>
      </c>
      <c r="J400">
        <v>6.78</v>
      </c>
      <c r="K400">
        <v>3.1627999020219799</v>
      </c>
      <c r="L400">
        <v>4.5506831094338098</v>
      </c>
      <c r="M400">
        <v>29.607700897906099</v>
      </c>
    </row>
    <row r="401" spans="1:13" x14ac:dyDescent="0.2">
      <c r="A401">
        <v>7</v>
      </c>
      <c r="B401">
        <v>90</v>
      </c>
      <c r="C401">
        <v>1</v>
      </c>
      <c r="D401">
        <v>89.9</v>
      </c>
      <c r="E401">
        <v>1</v>
      </c>
      <c r="F401">
        <f t="shared" si="24"/>
        <v>90</v>
      </c>
      <c r="G401" s="1">
        <f t="shared" si="25"/>
        <v>64</v>
      </c>
      <c r="H401" s="1">
        <f t="shared" si="26"/>
        <v>7.5965211039203471</v>
      </c>
      <c r="I401" s="1">
        <f t="shared" si="27"/>
        <v>7.3920000000000013E-2</v>
      </c>
      <c r="J401">
        <v>6.78</v>
      </c>
      <c r="K401">
        <v>7.72039129701965</v>
      </c>
      <c r="L401">
        <v>4.0303201430979501</v>
      </c>
      <c r="M401">
        <v>81.603602108166299</v>
      </c>
    </row>
  </sheetData>
  <phoneticPr fontId="18" type="noConversion"/>
  <conditionalFormatting sqref="A2:M401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2026-03-10T09:15:57Z</dcterms:created>
  <dcterms:modified xsi:type="dcterms:W3CDTF">2026-03-14T12:15:25Z</dcterms:modified>
</cp:coreProperties>
</file>